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kik\OneDrive\Documents\Politika\IZBORI\Mikrotargetiranje\Opstine\Negotin\dashboard\"/>
    </mc:Choice>
  </mc:AlternateContent>
  <xr:revisionPtr revIDLastSave="0" documentId="13_ncr:1_{E398EE1E-3C1E-4FD2-B94C-51D24E2DDC1D}" xr6:coauthVersionLast="47" xr6:coauthVersionMax="47" xr10:uidLastSave="{00000000-0000-0000-0000-000000000000}"/>
  <bookViews>
    <workbookView xWindow="-103" yWindow="-103" windowWidth="22149" windowHeight="13200" firstSheet="1" activeTab="3" xr2:uid="{00000000-000D-0000-FFFF-FFFF00000000}"/>
  </bookViews>
  <sheets>
    <sheet name="Zaječar rez" sheetId="22" r:id="rId1"/>
    <sheet name="Kosjerić rez" sheetId="24" r:id="rId2"/>
    <sheet name="Negotin rez" sheetId="21" r:id="rId3"/>
    <sheet name="Negotin uzorak" sheetId="28" r:id="rId4"/>
    <sheet name="Sumirano Zaječar" sheetId="23" r:id="rId5"/>
    <sheet name="Sumirano Kosjerić" sheetId="25" r:id="rId6"/>
    <sheet name="Sumirano Negotin" sheetId="26" r:id="rId7"/>
    <sheet name="Sumirano sve" sheetId="27" r:id="rId8"/>
  </sheets>
  <definedNames>
    <definedName name="_xlnm._FilterDatabase" localSheetId="3" hidden="1">'Negotin uzorak'!$A$1:$Z$73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5aQFPPX+ZqTuxz+fBZVtthZpc7BLt5MWkCpoocKuD0c="/>
    </ext>
  </extLst>
</workbook>
</file>

<file path=xl/calcChain.xml><?xml version="1.0" encoding="utf-8"?>
<calcChain xmlns="http://schemas.openxmlformats.org/spreadsheetml/2006/main">
  <c r="Y9" i="28" l="1"/>
  <c r="Y28" i="28"/>
  <c r="Y34" i="28"/>
  <c r="Y52" i="28"/>
  <c r="Y38" i="28"/>
  <c r="Y25" i="28"/>
  <c r="Y18" i="28"/>
  <c r="Y26" i="28"/>
  <c r="Y29" i="28"/>
  <c r="Y41" i="28"/>
  <c r="Y37" i="28"/>
  <c r="Y13" i="28"/>
  <c r="Y40" i="28"/>
  <c r="Y24" i="28"/>
  <c r="Y39" i="28"/>
  <c r="Y23" i="28"/>
  <c r="Y71" i="28"/>
  <c r="Y69" i="28"/>
  <c r="Y61" i="28"/>
  <c r="Y68" i="28"/>
  <c r="Y20" i="28"/>
  <c r="Y65" i="28"/>
  <c r="Y55" i="28"/>
  <c r="Y14" i="28"/>
  <c r="Y10" i="28"/>
  <c r="Y46" i="28"/>
  <c r="Y64" i="28"/>
  <c r="Y32" i="28"/>
  <c r="Y30" i="28"/>
  <c r="X59" i="28"/>
  <c r="Y59" i="28" s="1"/>
  <c r="X70" i="28"/>
  <c r="Y70" i="28" s="1"/>
  <c r="X58" i="28"/>
  <c r="Y58" i="28" s="1"/>
  <c r="X53" i="28"/>
  <c r="Y53" i="28" s="1"/>
  <c r="X66" i="28"/>
  <c r="Y66" i="28" s="1"/>
  <c r="X50" i="28"/>
  <c r="Y50" i="28" s="1"/>
  <c r="X42" i="28"/>
  <c r="Y42" i="28" s="1"/>
  <c r="X67" i="28"/>
  <c r="Y67" i="28" s="1"/>
  <c r="X28" i="28"/>
  <c r="X34" i="28"/>
  <c r="X52" i="28"/>
  <c r="X38" i="28"/>
  <c r="X25" i="28"/>
  <c r="X18" i="28"/>
  <c r="X26" i="28"/>
  <c r="X35" i="28"/>
  <c r="Y35" i="28" s="1"/>
  <c r="X45" i="28"/>
  <c r="Y45" i="28" s="1"/>
  <c r="X51" i="28"/>
  <c r="Y51" i="28" s="1"/>
  <c r="X19" i="28"/>
  <c r="Y19" i="28" s="1"/>
  <c r="X44" i="28"/>
  <c r="Y44" i="28" s="1"/>
  <c r="X15" i="28"/>
  <c r="Y15" i="28" s="1"/>
  <c r="X57" i="28"/>
  <c r="Y57" i="28" s="1"/>
  <c r="X62" i="28"/>
  <c r="Y62" i="28" s="1"/>
  <c r="X47" i="28"/>
  <c r="Y47" i="28" s="1"/>
  <c r="X29" i="28"/>
  <c r="X41" i="28"/>
  <c r="X37" i="28"/>
  <c r="X13" i="28"/>
  <c r="X40" i="28"/>
  <c r="X24" i="28"/>
  <c r="X39" i="28"/>
  <c r="X31" i="28"/>
  <c r="Y31" i="28" s="1"/>
  <c r="X72" i="28"/>
  <c r="Y72" i="28" s="1"/>
  <c r="X17" i="28"/>
  <c r="Y17" i="28" s="1"/>
  <c r="X27" i="28"/>
  <c r="Y27" i="28" s="1"/>
  <c r="X12" i="28"/>
  <c r="Y12" i="28" s="1"/>
  <c r="X22" i="28"/>
  <c r="Y22" i="28" s="1"/>
  <c r="X33" i="28"/>
  <c r="Y33" i="28" s="1"/>
  <c r="X48" i="28"/>
  <c r="Y48" i="28" s="1"/>
  <c r="X36" i="28"/>
  <c r="Y36" i="28" s="1"/>
  <c r="X23" i="28"/>
  <c r="X71" i="28"/>
  <c r="X69" i="28"/>
  <c r="X61" i="28"/>
  <c r="X68" i="28"/>
  <c r="X20" i="28"/>
  <c r="X65" i="28"/>
  <c r="X9" i="28"/>
  <c r="X43" i="28"/>
  <c r="Y43" i="28" s="1"/>
  <c r="X60" i="28"/>
  <c r="Y60" i="28" s="1"/>
  <c r="X56" i="28"/>
  <c r="Y56" i="28" s="1"/>
  <c r="X49" i="28"/>
  <c r="Y49" i="28" s="1"/>
  <c r="X11" i="28"/>
  <c r="Y11" i="28" s="1"/>
  <c r="X54" i="28"/>
  <c r="Y54" i="28" s="1"/>
  <c r="X21" i="28"/>
  <c r="Y21" i="28" s="1"/>
  <c r="X73" i="28"/>
  <c r="Y73" i="28" s="1"/>
  <c r="X55" i="28"/>
  <c r="X14" i="28"/>
  <c r="X10" i="28"/>
  <c r="X46" i="28"/>
  <c r="X64" i="28"/>
  <c r="X32" i="28"/>
  <c r="X30" i="28"/>
  <c r="X63" i="28"/>
  <c r="Y63" i="28" s="1"/>
  <c r="X16" i="28"/>
  <c r="Y16" i="28" s="1"/>
  <c r="X2" i="28"/>
  <c r="Y2" i="28" s="1"/>
  <c r="X3" i="28"/>
  <c r="Y3" i="28" s="1"/>
  <c r="X4" i="28"/>
  <c r="Y4" i="28" s="1"/>
  <c r="X5" i="28"/>
  <c r="Y5" i="28" s="1"/>
  <c r="X6" i="28"/>
  <c r="Y6" i="28" s="1"/>
  <c r="X7" i="28"/>
  <c r="Y7" i="28" s="1"/>
  <c r="X8" i="28"/>
  <c r="Y8" i="28" s="1"/>
  <c r="T67" i="28"/>
  <c r="U67" i="28" s="1"/>
  <c r="T51" i="28"/>
  <c r="U51" i="28" s="1"/>
  <c r="T45" i="28"/>
  <c r="U45" i="28" s="1"/>
  <c r="T24" i="28"/>
  <c r="U24" i="28" s="1"/>
  <c r="T13" i="28"/>
  <c r="U13" i="28" s="1"/>
  <c r="T15" i="28"/>
  <c r="U15" i="28" s="1"/>
  <c r="T47" i="28"/>
  <c r="U47" i="28" s="1"/>
  <c r="T14" i="28"/>
  <c r="U14" i="28" s="1"/>
  <c r="T18" i="28"/>
  <c r="U18" i="28" s="1"/>
  <c r="T26" i="28"/>
  <c r="U26" i="28" s="1"/>
  <c r="T44" i="28"/>
  <c r="U44" i="28" s="1"/>
  <c r="T27" i="28"/>
  <c r="U27" i="28" s="1"/>
  <c r="T37" i="28"/>
  <c r="U37" i="28" s="1"/>
  <c r="T39" i="28"/>
  <c r="U39" i="28" s="1"/>
  <c r="T40" i="28"/>
  <c r="U40" i="28" s="1"/>
  <c r="T20" i="28"/>
  <c r="U20" i="28" s="1"/>
  <c r="T49" i="28"/>
  <c r="U49" i="28" s="1"/>
  <c r="T65" i="28"/>
  <c r="U65" i="28" s="1"/>
  <c r="T46" i="28"/>
  <c r="U46" i="28" s="1"/>
  <c r="T9" i="28"/>
  <c r="U9" i="28" s="1"/>
  <c r="T3" i="28"/>
  <c r="U3" i="28" s="1"/>
  <c r="T25" i="28"/>
  <c r="U25" i="28" s="1"/>
  <c r="T12" i="28"/>
  <c r="U12" i="28" s="1"/>
  <c r="T38" i="28"/>
  <c r="U38" i="28" s="1"/>
  <c r="T29" i="28"/>
  <c r="U29" i="28" s="1"/>
  <c r="T10" i="28"/>
  <c r="U10" i="28" s="1"/>
  <c r="T17" i="28"/>
  <c r="U17" i="28" s="1"/>
  <c r="T11" i="28"/>
  <c r="U11" i="28" s="1"/>
  <c r="T41" i="28"/>
  <c r="U41" i="28" s="1"/>
  <c r="T57" i="28"/>
  <c r="U57" i="28" s="1"/>
  <c r="T33" i="28"/>
  <c r="U33" i="28" s="1"/>
  <c r="T48" i="28"/>
  <c r="U48" i="28" s="1"/>
  <c r="T21" i="28"/>
  <c r="U21" i="28" s="1"/>
  <c r="T43" i="28"/>
  <c r="U43" i="28" s="1"/>
  <c r="T61" i="28"/>
  <c r="U61" i="28" s="1"/>
  <c r="T56" i="28"/>
  <c r="U56" i="28" s="1"/>
  <c r="T54" i="28"/>
  <c r="U54" i="28" s="1"/>
  <c r="T60" i="28"/>
  <c r="U60" i="28" s="1"/>
  <c r="T6" i="28"/>
  <c r="U6" i="28" s="1"/>
  <c r="T2" i="28"/>
  <c r="U2" i="28" s="1"/>
  <c r="T55" i="28"/>
  <c r="U55" i="28" s="1"/>
  <c r="T69" i="28"/>
  <c r="U69" i="28" s="1"/>
  <c r="T68" i="28"/>
  <c r="U68" i="28" s="1"/>
  <c r="T71" i="28"/>
  <c r="U71" i="28" s="1"/>
  <c r="T4" i="28"/>
  <c r="U4" i="28" s="1"/>
  <c r="T32" i="28"/>
  <c r="U32" i="28" s="1"/>
  <c r="T30" i="28"/>
  <c r="U30" i="28" s="1"/>
  <c r="T7" i="28"/>
  <c r="U7" i="28" s="1"/>
  <c r="T73" i="28"/>
  <c r="U73" i="28" s="1"/>
  <c r="T64" i="28"/>
  <c r="U64" i="28" s="1"/>
  <c r="T16" i="28"/>
  <c r="U16" i="28" s="1"/>
  <c r="T58" i="28"/>
  <c r="U58" i="28" s="1"/>
  <c r="T8" i="28"/>
  <c r="U8" i="28" s="1"/>
  <c r="T5" i="28"/>
  <c r="U5" i="28" s="1"/>
  <c r="T53" i="28"/>
  <c r="U53" i="28" s="1"/>
  <c r="T34" i="28"/>
  <c r="U34" i="28" s="1"/>
  <c r="T66" i="28"/>
  <c r="U66" i="28" s="1"/>
  <c r="T31" i="28"/>
  <c r="U31" i="28" s="1"/>
  <c r="T23" i="28"/>
  <c r="U23" i="28" s="1"/>
  <c r="T36" i="28"/>
  <c r="U36" i="28" s="1"/>
  <c r="T62" i="28"/>
  <c r="U62" i="28" s="1"/>
  <c r="T63" i="28"/>
  <c r="U63" i="28" s="1"/>
  <c r="T59" i="28"/>
  <c r="U59" i="28" s="1"/>
  <c r="T28" i="28"/>
  <c r="U28" i="28" s="1"/>
  <c r="T42" i="28"/>
  <c r="U42" i="28" s="1"/>
  <c r="T50" i="28"/>
  <c r="U50" i="28" s="1"/>
  <c r="T19" i="28"/>
  <c r="U19" i="28" s="1"/>
  <c r="T70" i="28"/>
  <c r="U70" i="28" s="1"/>
  <c r="T35" i="28"/>
  <c r="U35" i="28" s="1"/>
  <c r="T52" i="28"/>
  <c r="U52" i="28" s="1"/>
  <c r="T72" i="28"/>
  <c r="U72" i="28" s="1"/>
  <c r="T22" i="28"/>
  <c r="U22" i="28" s="1"/>
  <c r="F67" i="28"/>
  <c r="F51" i="28"/>
  <c r="F45" i="28"/>
  <c r="F24" i="28"/>
  <c r="F13" i="28"/>
  <c r="F15" i="28"/>
  <c r="F47" i="28"/>
  <c r="F14" i="28"/>
  <c r="F18" i="28"/>
  <c r="F26" i="28"/>
  <c r="F44" i="28"/>
  <c r="F27" i="28"/>
  <c r="F37" i="28"/>
  <c r="F39" i="28"/>
  <c r="F40" i="28"/>
  <c r="F20" i="28"/>
  <c r="F49" i="28"/>
  <c r="F65" i="28"/>
  <c r="F46" i="28"/>
  <c r="F9" i="28"/>
  <c r="F3" i="28"/>
  <c r="F25" i="28"/>
  <c r="F12" i="28"/>
  <c r="F38" i="28"/>
  <c r="F29" i="28"/>
  <c r="F10" i="28"/>
  <c r="F17" i="28"/>
  <c r="F11" i="28"/>
  <c r="F41" i="28"/>
  <c r="F57" i="28"/>
  <c r="F33" i="28"/>
  <c r="F48" i="28"/>
  <c r="F21" i="28"/>
  <c r="F43" i="28"/>
  <c r="F61" i="28"/>
  <c r="F56" i="28"/>
  <c r="F54" i="28"/>
  <c r="F60" i="28"/>
  <c r="F6" i="28"/>
  <c r="F2" i="28"/>
  <c r="F55" i="28"/>
  <c r="F69" i="28"/>
  <c r="F68" i="28"/>
  <c r="F71" i="28"/>
  <c r="F4" i="28"/>
  <c r="F32" i="28"/>
  <c r="F30" i="28"/>
  <c r="F7" i="28"/>
  <c r="F73" i="28"/>
  <c r="F64" i="28"/>
  <c r="F16" i="28"/>
  <c r="F58" i="28"/>
  <c r="F8" i="28"/>
  <c r="F5" i="28"/>
  <c r="F53" i="28"/>
  <c r="F34" i="28"/>
  <c r="F66" i="28"/>
  <c r="F31" i="28"/>
  <c r="F23" i="28"/>
  <c r="F36" i="28"/>
  <c r="F62" i="28"/>
  <c r="F63" i="28"/>
  <c r="F59" i="28"/>
  <c r="F28" i="28"/>
  <c r="F42" i="28"/>
  <c r="F50" i="28"/>
  <c r="F19" i="28"/>
  <c r="F70" i="28"/>
  <c r="F35" i="28"/>
  <c r="F52" i="28"/>
  <c r="F72" i="28"/>
  <c r="F22" i="28"/>
  <c r="O67" i="28"/>
  <c r="O51" i="28"/>
  <c r="O45" i="28"/>
  <c r="O24" i="28"/>
  <c r="O13" i="28"/>
  <c r="O14" i="28"/>
  <c r="O15" i="28"/>
  <c r="O47" i="28"/>
  <c r="O37" i="28"/>
  <c r="O26" i="28"/>
  <c r="O49" i="28"/>
  <c r="O27" i="28"/>
  <c r="O40" i="28"/>
  <c r="O18" i="28"/>
  <c r="O44" i="28"/>
  <c r="O39" i="28"/>
  <c r="O46" i="28"/>
  <c r="O65" i="28"/>
  <c r="O20" i="28"/>
  <c r="O56" i="28"/>
  <c r="O48" i="28"/>
  <c r="O69" i="28"/>
  <c r="O38" i="28"/>
  <c r="O10" i="28"/>
  <c r="O33" i="28"/>
  <c r="O57" i="28"/>
  <c r="O43" i="28"/>
  <c r="O21" i="28"/>
  <c r="O71" i="28"/>
  <c r="O16" i="28"/>
  <c r="O9" i="28"/>
  <c r="O4" i="28"/>
  <c r="O11" i="28"/>
  <c r="O60" i="28"/>
  <c r="O6" i="28"/>
  <c r="O68" i="28"/>
  <c r="O64" i="28"/>
  <c r="O61" i="28"/>
  <c r="O25" i="28"/>
  <c r="O12" i="28"/>
  <c r="O32" i="28"/>
  <c r="O7" i="28"/>
  <c r="O41" i="28"/>
  <c r="O55" i="28"/>
  <c r="O54" i="28"/>
  <c r="O2" i="28"/>
  <c r="O73" i="28"/>
  <c r="O17" i="28"/>
  <c r="O29" i="28"/>
  <c r="O3" i="28"/>
  <c r="O30" i="28"/>
  <c r="O58" i="28"/>
  <c r="O8" i="28"/>
  <c r="O5" i="28"/>
  <c r="O53" i="28"/>
  <c r="O34" i="28"/>
  <c r="O66" i="28"/>
  <c r="O31" i="28"/>
  <c r="O23" i="28"/>
  <c r="O36" i="28"/>
  <c r="O62" i="28"/>
  <c r="O63" i="28"/>
  <c r="O42" i="28"/>
  <c r="O72" i="28"/>
  <c r="O35" i="28"/>
  <c r="O19" i="28"/>
  <c r="O50" i="28"/>
  <c r="O70" i="28"/>
  <c r="O52" i="28"/>
  <c r="O28" i="28"/>
  <c r="O59" i="28"/>
  <c r="O22" i="28"/>
  <c r="I67" i="28"/>
  <c r="I51" i="28"/>
  <c r="I45" i="28"/>
  <c r="I24" i="28"/>
  <c r="I13" i="28"/>
  <c r="I14" i="28"/>
  <c r="I15" i="28"/>
  <c r="I47" i="28"/>
  <c r="I37" i="28"/>
  <c r="I26" i="28"/>
  <c r="I49" i="28"/>
  <c r="I27" i="28"/>
  <c r="I40" i="28"/>
  <c r="I18" i="28"/>
  <c r="I44" i="28"/>
  <c r="I39" i="28"/>
  <c r="I46" i="28"/>
  <c r="I65" i="28"/>
  <c r="I20" i="28"/>
  <c r="I56" i="28"/>
  <c r="I48" i="28"/>
  <c r="I69" i="28"/>
  <c r="I38" i="28"/>
  <c r="I10" i="28"/>
  <c r="I33" i="28"/>
  <c r="I57" i="28"/>
  <c r="I43" i="28"/>
  <c r="I21" i="28"/>
  <c r="I71" i="28"/>
  <c r="I16" i="28"/>
  <c r="I9" i="28"/>
  <c r="I4" i="28"/>
  <c r="I11" i="28"/>
  <c r="I60" i="28"/>
  <c r="I6" i="28"/>
  <c r="I68" i="28"/>
  <c r="I64" i="28"/>
  <c r="I61" i="28"/>
  <c r="I25" i="28"/>
  <c r="I12" i="28"/>
  <c r="I32" i="28"/>
  <c r="I7" i="28"/>
  <c r="I41" i="28"/>
  <c r="I55" i="28"/>
  <c r="I54" i="28"/>
  <c r="I2" i="28"/>
  <c r="I73" i="28"/>
  <c r="I17" i="28"/>
  <c r="I29" i="28"/>
  <c r="I3" i="28"/>
  <c r="I30" i="28"/>
  <c r="I58" i="28"/>
  <c r="I8" i="28"/>
  <c r="I5" i="28"/>
  <c r="I53" i="28"/>
  <c r="I34" i="28"/>
  <c r="I66" i="28"/>
  <c r="I31" i="28"/>
  <c r="I23" i="28"/>
  <c r="I36" i="28"/>
  <c r="I62" i="28"/>
  <c r="I63" i="28"/>
  <c r="I42" i="28"/>
  <c r="I72" i="28"/>
  <c r="I35" i="28"/>
  <c r="I19" i="28"/>
  <c r="I50" i="28"/>
  <c r="I70" i="28"/>
  <c r="I52" i="28"/>
  <c r="I28" i="28"/>
  <c r="I59" i="28"/>
  <c r="I22" i="28"/>
  <c r="V5" i="27"/>
  <c r="R5" i="27"/>
  <c r="P5" i="27"/>
  <c r="P6" i="27"/>
  <c r="V9" i="27"/>
  <c r="O9" i="27"/>
  <c r="H9" i="27"/>
  <c r="O5" i="27"/>
  <c r="O4" i="27"/>
  <c r="H4" i="27"/>
  <c r="H5" i="27"/>
  <c r="V4" i="27"/>
  <c r="P7" i="27"/>
  <c r="R7" i="27" s="1"/>
  <c r="CS76" i="21"/>
  <c r="CT76" i="21"/>
  <c r="CU76" i="21"/>
  <c r="CV76" i="21"/>
  <c r="CR76" i="21"/>
  <c r="CI76" i="21"/>
  <c r="CT33" i="24"/>
  <c r="CU33" i="24"/>
  <c r="CR33" i="24"/>
  <c r="CS33" i="24"/>
  <c r="CQ33" i="24"/>
  <c r="CF33" i="24"/>
  <c r="CG33" i="24"/>
  <c r="CH33" i="24"/>
  <c r="CI33" i="24"/>
  <c r="CE33" i="24"/>
  <c r="R6" i="27" l="1"/>
  <c r="V6" i="27" s="1"/>
  <c r="V7" i="27"/>
  <c r="CH4" i="21"/>
  <c r="CH5" i="21"/>
  <c r="CH6" i="21"/>
  <c r="CH7" i="21"/>
  <c r="CH8" i="21"/>
  <c r="CH9" i="21"/>
  <c r="CH10" i="21"/>
  <c r="CH11" i="21"/>
  <c r="CH12" i="21"/>
  <c r="CH13" i="21"/>
  <c r="CH14" i="21"/>
  <c r="CH15" i="21"/>
  <c r="CH16" i="21"/>
  <c r="CH17" i="21"/>
  <c r="CH18" i="21"/>
  <c r="CH19" i="21"/>
  <c r="CH20" i="21"/>
  <c r="CH21" i="21"/>
  <c r="CH22" i="21"/>
  <c r="CH23" i="21"/>
  <c r="CH24" i="21"/>
  <c r="CH25" i="21"/>
  <c r="CH26" i="21"/>
  <c r="CH27" i="21"/>
  <c r="CH28" i="21"/>
  <c r="CH29" i="21"/>
  <c r="CH30" i="21"/>
  <c r="CH31" i="21"/>
  <c r="CH32" i="21"/>
  <c r="CH33" i="21"/>
  <c r="CH34" i="21"/>
  <c r="CH35" i="21"/>
  <c r="CH36" i="21"/>
  <c r="CH37" i="21"/>
  <c r="CH38" i="21"/>
  <c r="CH39" i="21"/>
  <c r="CH40" i="21"/>
  <c r="CH41" i="21"/>
  <c r="CH42" i="21"/>
  <c r="CH43" i="21"/>
  <c r="CH44" i="21"/>
  <c r="CH45" i="21"/>
  <c r="CH46" i="21"/>
  <c r="CH47" i="21"/>
  <c r="CH48" i="21"/>
  <c r="CH49" i="21"/>
  <c r="CH50" i="21"/>
  <c r="CH51" i="21"/>
  <c r="CH52" i="21"/>
  <c r="CH53" i="21"/>
  <c r="CH54" i="21"/>
  <c r="CH55" i="21"/>
  <c r="CH56" i="21"/>
  <c r="CH57" i="21"/>
  <c r="CH58" i="21"/>
  <c r="CH59" i="21"/>
  <c r="CH60" i="21"/>
  <c r="CH61" i="21"/>
  <c r="CH62" i="21"/>
  <c r="CH63" i="21"/>
  <c r="CH64" i="21"/>
  <c r="CH65" i="21"/>
  <c r="CH66" i="21"/>
  <c r="CH67" i="21"/>
  <c r="CH68" i="21"/>
  <c r="CH69" i="21"/>
  <c r="CH70" i="21"/>
  <c r="CH71" i="21"/>
  <c r="CH72" i="21"/>
  <c r="CH73" i="21"/>
  <c r="CH74" i="21"/>
  <c r="CH3" i="21"/>
  <c r="CG4" i="21"/>
  <c r="CG5" i="21"/>
  <c r="CG6" i="21"/>
  <c r="CG7" i="21"/>
  <c r="CG8" i="21"/>
  <c r="CG9" i="21"/>
  <c r="CG10" i="21"/>
  <c r="CG11" i="21"/>
  <c r="CG12" i="21"/>
  <c r="CG13" i="21"/>
  <c r="CG14" i="21"/>
  <c r="CG15" i="21"/>
  <c r="CG16" i="21"/>
  <c r="CG17" i="21"/>
  <c r="CG18" i="21"/>
  <c r="CG19" i="21"/>
  <c r="CG20" i="21"/>
  <c r="CG21" i="21"/>
  <c r="CG22" i="21"/>
  <c r="CG23" i="21"/>
  <c r="CG24" i="21"/>
  <c r="CG25" i="21"/>
  <c r="CG26" i="21"/>
  <c r="CG27" i="21"/>
  <c r="CG28" i="21"/>
  <c r="CG29" i="21"/>
  <c r="CG30" i="21"/>
  <c r="CG31" i="21"/>
  <c r="CG32" i="21"/>
  <c r="CG33" i="21"/>
  <c r="CG34" i="21"/>
  <c r="CG35" i="21"/>
  <c r="CG36" i="21"/>
  <c r="CG37" i="21"/>
  <c r="CG38" i="21"/>
  <c r="CG39" i="21"/>
  <c r="CG40" i="21"/>
  <c r="CG41" i="21"/>
  <c r="CG42" i="21"/>
  <c r="CG43" i="21"/>
  <c r="CG44" i="21"/>
  <c r="CG45" i="21"/>
  <c r="CG46" i="21"/>
  <c r="CG47" i="21"/>
  <c r="CG48" i="21"/>
  <c r="CG49" i="21"/>
  <c r="CG50" i="21"/>
  <c r="CG51" i="21"/>
  <c r="CG52" i="21"/>
  <c r="CG53" i="21"/>
  <c r="CG54" i="21"/>
  <c r="CG55" i="21"/>
  <c r="CG56" i="21"/>
  <c r="CG57" i="21"/>
  <c r="CG58" i="21"/>
  <c r="CG59" i="21"/>
  <c r="CG60" i="21"/>
  <c r="CG61" i="21"/>
  <c r="CG62" i="21"/>
  <c r="CG63" i="21"/>
  <c r="CG64" i="21"/>
  <c r="CG65" i="21"/>
  <c r="CG66" i="21"/>
  <c r="CG67" i="21"/>
  <c r="CG68" i="21"/>
  <c r="CG69" i="21"/>
  <c r="CG70" i="21"/>
  <c r="CG71" i="21"/>
  <c r="CG72" i="21"/>
  <c r="CG73" i="21"/>
  <c r="CG74" i="21"/>
  <c r="CG3" i="21"/>
  <c r="CF4" i="21"/>
  <c r="CF5" i="21"/>
  <c r="CF6" i="21"/>
  <c r="CF7" i="21"/>
  <c r="CF8" i="21"/>
  <c r="CF9" i="21"/>
  <c r="CF10" i="21"/>
  <c r="CF11" i="21"/>
  <c r="CF12" i="21"/>
  <c r="CF13" i="21"/>
  <c r="CF14" i="21"/>
  <c r="CF15" i="21"/>
  <c r="CF16" i="21"/>
  <c r="CF17" i="21"/>
  <c r="CF18" i="21"/>
  <c r="CF19" i="21"/>
  <c r="CF20" i="21"/>
  <c r="CF21" i="21"/>
  <c r="CF22" i="21"/>
  <c r="CF23" i="21"/>
  <c r="CF24" i="21"/>
  <c r="CF25" i="21"/>
  <c r="CF26" i="21"/>
  <c r="CF27" i="21"/>
  <c r="CF28" i="21"/>
  <c r="CF29" i="21"/>
  <c r="CF30" i="21"/>
  <c r="CF31" i="21"/>
  <c r="CF32" i="21"/>
  <c r="CF33" i="21"/>
  <c r="CF34" i="21"/>
  <c r="CF35" i="21"/>
  <c r="CF36" i="21"/>
  <c r="CF37" i="21"/>
  <c r="CF38" i="21"/>
  <c r="CF39" i="21"/>
  <c r="CF40" i="21"/>
  <c r="CF41" i="21"/>
  <c r="CF42" i="21"/>
  <c r="CF43" i="21"/>
  <c r="CF44" i="21"/>
  <c r="CF45" i="21"/>
  <c r="CF46" i="21"/>
  <c r="CF47" i="21"/>
  <c r="CF48" i="21"/>
  <c r="CF49" i="21"/>
  <c r="CF50" i="21"/>
  <c r="CF51" i="21"/>
  <c r="CF52" i="21"/>
  <c r="CF53" i="21"/>
  <c r="CF54" i="21"/>
  <c r="CF55" i="21"/>
  <c r="CF56" i="21"/>
  <c r="CF57" i="21"/>
  <c r="CF58" i="21"/>
  <c r="CF59" i="21"/>
  <c r="CF60" i="21"/>
  <c r="CF61" i="21"/>
  <c r="CF62" i="21"/>
  <c r="CF63" i="21"/>
  <c r="CF64" i="21"/>
  <c r="CF65" i="21"/>
  <c r="CF66" i="21"/>
  <c r="CF67" i="21"/>
  <c r="CF68" i="21"/>
  <c r="CF69" i="21"/>
  <c r="CF70" i="21"/>
  <c r="CF71" i="21"/>
  <c r="CF72" i="21"/>
  <c r="CF73" i="21"/>
  <c r="CF74" i="21"/>
  <c r="CF3" i="21"/>
  <c r="CE4" i="21"/>
  <c r="CE5" i="21"/>
  <c r="CE6" i="21"/>
  <c r="CE7" i="21"/>
  <c r="CE8" i="21"/>
  <c r="CE9" i="21"/>
  <c r="CE10" i="21"/>
  <c r="CE11" i="21"/>
  <c r="CE12" i="21"/>
  <c r="CE13" i="21"/>
  <c r="CE14" i="21"/>
  <c r="CE15" i="21"/>
  <c r="CE16" i="21"/>
  <c r="CE17" i="21"/>
  <c r="CE18" i="21"/>
  <c r="CE19" i="21"/>
  <c r="CE20" i="21"/>
  <c r="CE21" i="21"/>
  <c r="CE22" i="21"/>
  <c r="CE23" i="21"/>
  <c r="CE24" i="21"/>
  <c r="CE25" i="21"/>
  <c r="CE26" i="21"/>
  <c r="CE27" i="21"/>
  <c r="CE28" i="21"/>
  <c r="CE29" i="21"/>
  <c r="CE30" i="21"/>
  <c r="CE31" i="21"/>
  <c r="CE32" i="21"/>
  <c r="CE33" i="21"/>
  <c r="CE34" i="21"/>
  <c r="CE35" i="21"/>
  <c r="CE36" i="21"/>
  <c r="CE37" i="21"/>
  <c r="CE38" i="21"/>
  <c r="CE39" i="21"/>
  <c r="CE40" i="21"/>
  <c r="CE41" i="21"/>
  <c r="CE42" i="21"/>
  <c r="CE43" i="21"/>
  <c r="CE44" i="21"/>
  <c r="CE45" i="21"/>
  <c r="CE46" i="21"/>
  <c r="CE47" i="21"/>
  <c r="CE48" i="21"/>
  <c r="CE49" i="21"/>
  <c r="CE50" i="21"/>
  <c r="CE51" i="21"/>
  <c r="CE52" i="21"/>
  <c r="CE53" i="21"/>
  <c r="CE54" i="21"/>
  <c r="CE55" i="21"/>
  <c r="CE56" i="21"/>
  <c r="CE57" i="21"/>
  <c r="CE58" i="21"/>
  <c r="CE59" i="21"/>
  <c r="CE60" i="21"/>
  <c r="CE61" i="21"/>
  <c r="CE62" i="21"/>
  <c r="CE63" i="21"/>
  <c r="CE64" i="21"/>
  <c r="CE65" i="21"/>
  <c r="CE66" i="21"/>
  <c r="CE67" i="21"/>
  <c r="CE68" i="21"/>
  <c r="CE69" i="21"/>
  <c r="CE70" i="21"/>
  <c r="CE71" i="21"/>
  <c r="CE72" i="21"/>
  <c r="CE73" i="21"/>
  <c r="CE74" i="21"/>
  <c r="CE3" i="21"/>
  <c r="CE76" i="21" l="1"/>
  <c r="CF76" i="21"/>
  <c r="CG76" i="21"/>
  <c r="CH76" i="21"/>
  <c r="AA60" i="28"/>
</calcChain>
</file>

<file path=xl/sharedStrings.xml><?xml version="1.0" encoding="utf-8"?>
<sst xmlns="http://schemas.openxmlformats.org/spreadsheetml/2006/main" count="3824" uniqueCount="612">
  <si>
    <t>Adresar 2023</t>
  </si>
  <si>
    <t>Adresar 2022</t>
  </si>
  <si>
    <t>ОКРУГ</t>
  </si>
  <si>
    <t>ОПШТИНА</t>
  </si>
  <si>
    <t>БР_БМ</t>
  </si>
  <si>
    <t>НАЗИВ БИРАЧКОГ МЕСТА</t>
  </si>
  <si>
    <t xml:space="preserve">АДРЕСА </t>
  </si>
  <si>
    <t>Uparivanje</t>
  </si>
  <si>
    <t>Naziv</t>
  </si>
  <si>
    <t>adresa</t>
  </si>
  <si>
    <t>Opština</t>
  </si>
  <si>
    <t>АДРЕСА</t>
  </si>
  <si>
    <t>ДОМ КУЛТУРЕ</t>
  </si>
  <si>
    <t>14</t>
  </si>
  <si>
    <t>ЗДРАВСТВЕНА СТАНИЦА</t>
  </si>
  <si>
    <t>15</t>
  </si>
  <si>
    <t>OK</t>
  </si>
  <si>
    <t>ОСНОВНА ШКОЛА</t>
  </si>
  <si>
    <t>МЕСНА ЗАЈЕДНИЦА</t>
  </si>
  <si>
    <t>ВРТИЋ "МАСЛАЧАК"</t>
  </si>
  <si>
    <t>МЕСНА КАНЦЕЛАРИЈА</t>
  </si>
  <si>
    <t>ОШ "ЈОВАН ЈОВАНОВИЋ - ЗМАЈ"</t>
  </si>
  <si>
    <t>ОШ "ЂУРА ЈАКШИЋ"</t>
  </si>
  <si>
    <t>ОШ "ДОСИТЕЈ ОБРАДОВИЋ"</t>
  </si>
  <si>
    <t>ДОМ ПЕНЗИОНЕРА</t>
  </si>
  <si>
    <t>ДОМ КУЛТУРЕ - МАЛА САЛА</t>
  </si>
  <si>
    <t>ДОМ КУЛТУРЕ - ВЕЛИКА САЛА</t>
  </si>
  <si>
    <t>ЧИТАОНИЦА</t>
  </si>
  <si>
    <t>ДОМ КУЛТУРЕ - ЧИТАОНИЦА</t>
  </si>
  <si>
    <t>СТАРА ШКОЛА</t>
  </si>
  <si>
    <t>ПЕНЗИОНЕРСКИ ДОМ</t>
  </si>
  <si>
    <t>АМБУЛАНТА</t>
  </si>
  <si>
    <t>СЛАТИНА</t>
  </si>
  <si>
    <t>НОВА ШКОЛА</t>
  </si>
  <si>
    <t>ПЛАНИНИЦА</t>
  </si>
  <si>
    <t>МИХАЈЛОВАЦ</t>
  </si>
  <si>
    <t>ШАХ КЛУБ</t>
  </si>
  <si>
    <t>ТРЊАНЕ</t>
  </si>
  <si>
    <t>АЛЕКСАНДРОВАЦ</t>
  </si>
  <si>
    <t>ЛЕСКОВАЦ</t>
  </si>
  <si>
    <t>МИЛОШЕВО</t>
  </si>
  <si>
    <t>БУКОВЧЕ</t>
  </si>
  <si>
    <t xml:space="preserve">БОРСКИ УПРАВНИ ОКРУГ </t>
  </si>
  <si>
    <t>БРЕСТОВАЦ</t>
  </si>
  <si>
    <t>НЕГОТИН</t>
  </si>
  <si>
    <t>ОШ "ВЕРА РАДОСАВЉЕВИЋ" - ХОЛ ИСПРЕД ШКОЛСКЕ ТРПЕЗАРИЈЕ</t>
  </si>
  <si>
    <t>НЕГОТИН, ЈОВАНА ЈОВАНОВИЋА ЗМАЈA БР. 1</t>
  </si>
  <si>
    <t>НЕГОТИН_1</t>
  </si>
  <si>
    <t>ОШ "ВЕРА РАДОСАВЉЕВИЋ" (ШКОЛСКА ТРПЕЗАРИЈА)</t>
  </si>
  <si>
    <t>ОШ "ВЕРА РАДОСАВЉЕВИЋ" - ГЛАВНИ ХОЛ ШКОЛЕ</t>
  </si>
  <si>
    <t>НЕГОТИН_2</t>
  </si>
  <si>
    <t>ОШ "ВЕРА РАДОСАВЉЕВИЋ" (ГЛАВНИ ХОЛ ШКОЛЕ)</t>
  </si>
  <si>
    <t>НЕГОТИН, МИРЕ ВИНКЛАЈТ БР. 2</t>
  </si>
  <si>
    <t>НЕГОТИН_3</t>
  </si>
  <si>
    <t>НЕГОТИНСКА ГИМНАЗИЈА - ХОЛ У НОВОМ ДЕЛУ ЗГРАДЕ</t>
  </si>
  <si>
    <t>НЕГОТИН, ХАЈДУК ВЕЉКОВА БР. 3</t>
  </si>
  <si>
    <t>НЕГОТИН_4</t>
  </si>
  <si>
    <t>ЖЕЛЕЗНИЧКА СТАНИЦА НЕГОТИН</t>
  </si>
  <si>
    <t>НЕГОТИН_5</t>
  </si>
  <si>
    <t>НЕГОТИН, ХАЈДУК ВЕЉКОВА БР. 79</t>
  </si>
  <si>
    <t>НЕГОТИН_6</t>
  </si>
  <si>
    <t>НЕГОТИНСКА ГИМНАЗИЈА - ХОЛ У СТАРОМ ДЕЛУ ЗГРАДЕ</t>
  </si>
  <si>
    <t>НЕГОТИН_7</t>
  </si>
  <si>
    <t>ТЕХНИЧКА ШКОЛА - ШКОЛСКА ТРПЕЗАРИЈА</t>
  </si>
  <si>
    <t>НЕГОТИН, МИОМИРА РАДОСАВЉЕВИЋА ПИКИЈА БР. 9</t>
  </si>
  <si>
    <t>НЕГОТИН_8</t>
  </si>
  <si>
    <t>ПЕДАГОШКА АКАДЕМИЈА - УЧИОНИЦА БР. 3А</t>
  </si>
  <si>
    <t>НЕГОТИН, ТРГ ЂОРЂА СТАНОЈЕВИЋА БР. 11</t>
  </si>
  <si>
    <t>НЕГОТИН_9</t>
  </si>
  <si>
    <t>ТЕХНИЧКА ШКОЛА - СВЕЧАНА САЛА</t>
  </si>
  <si>
    <t>НЕГОТИН_10</t>
  </si>
  <si>
    <t>ДОМ ЗА ДЕЦУ И ОМЛАДИНУ "СТАНКО ПАУНОВИЋ" - САЛА</t>
  </si>
  <si>
    <t>НЕГОТИН, БАДЊЕВСКА БР. 5</t>
  </si>
  <si>
    <t>НЕГОТИН_11</t>
  </si>
  <si>
    <t>ПЕДАГОШКА АКАДЕМИЈА - УЧИОНИЦА БР. 7</t>
  </si>
  <si>
    <t>НЕГОТИН_12</t>
  </si>
  <si>
    <t>ОШ "ВУК КАРАЏИЋ" - УЧИОНИЦА БР. 6</t>
  </si>
  <si>
    <t>НЕГОТИН, ЛОЛЕ РИБАРА БР. 1</t>
  </si>
  <si>
    <t>НЕГОТИН_13</t>
  </si>
  <si>
    <t>ОШ "БРАНКО РАДИЧЕВИЋ" - УЧИОНИЦА БР. 10</t>
  </si>
  <si>
    <t>НЕГОТИН, ИНТЕРНАЦИОНАЛНИХ БРИГАДА БР. 57</t>
  </si>
  <si>
    <t>НЕГОТИН_14</t>
  </si>
  <si>
    <t>МЗ "ВЕЉКО ВЛАХОВИЋ"</t>
  </si>
  <si>
    <t>НЕГОТИН, ЂУРЕ САЛАЈА БР. 1</t>
  </si>
  <si>
    <t>НЕГОТИН_15</t>
  </si>
  <si>
    <t>АУТО МОТО ДРУШТВО</t>
  </si>
  <si>
    <t>НЕГОТИН, ДУНАВСКА БР. 1</t>
  </si>
  <si>
    <t>НЕГОТИН_16</t>
  </si>
  <si>
    <t>ИСТОРИЈСКИ АРХИВ</t>
  </si>
  <si>
    <t>НЕГОТИН, БРАНКА ПЕРИЋА БР. 15</t>
  </si>
  <si>
    <t>НЕГОТИН_17</t>
  </si>
  <si>
    <t>БРАЋЕВАЦ</t>
  </si>
  <si>
    <t>НЕГОТИН_18</t>
  </si>
  <si>
    <t>МЗ "БРЕСТОВАЦ" - КЛУБ</t>
  </si>
  <si>
    <t>НЕГОТИН_19</t>
  </si>
  <si>
    <t>НЕГОТИН_20</t>
  </si>
  <si>
    <t>ПЕНЗИОНЕРСКИ КЛУБ</t>
  </si>
  <si>
    <t>НЕГОТИН_21</t>
  </si>
  <si>
    <t>ДОМ КУЛТУРЕ "ЂОРЂЕ НИКОЛИЋ" - МАЛА САЛА</t>
  </si>
  <si>
    <t>НЕГОТИН_22</t>
  </si>
  <si>
    <t>ВЕЉКОВО</t>
  </si>
  <si>
    <t>НЕГОТИН_23</t>
  </si>
  <si>
    <t>ВИДРОВАЦ</t>
  </si>
  <si>
    <t>НЕГОТИН_24</t>
  </si>
  <si>
    <t>ВРАТНА</t>
  </si>
  <si>
    <t>НЕГОТИН_25</t>
  </si>
  <si>
    <t>КЛУБ ОМЛАДИНЕ</t>
  </si>
  <si>
    <t>ДУПЉАНЕ</t>
  </si>
  <si>
    <t>НЕГОТИН_26</t>
  </si>
  <si>
    <t>ДУШАНОВАЦ</t>
  </si>
  <si>
    <t>НЕГОТИН_27</t>
  </si>
  <si>
    <t>НЕГОТИН_28</t>
  </si>
  <si>
    <t>НЕГОТИН_29</t>
  </si>
  <si>
    <t>НЕГОТИН_30</t>
  </si>
  <si>
    <t>МЗ "ЈАБУКОВАЦ"</t>
  </si>
  <si>
    <t>ЈАБУКОВАЦ</t>
  </si>
  <si>
    <t>НЕГОТИН_31</t>
  </si>
  <si>
    <t>ЗАДРУЖНА КАФАНА "ВЕКА"</t>
  </si>
  <si>
    <t>НЕГОТИН_32</t>
  </si>
  <si>
    <t>ДИСКО КЛУБ</t>
  </si>
  <si>
    <t>НЕГОТИН_33</t>
  </si>
  <si>
    <t>ЈАСЕНИЦА</t>
  </si>
  <si>
    <t>НЕГОТИН_34</t>
  </si>
  <si>
    <t>КАРБУЛОВО</t>
  </si>
  <si>
    <t>НЕГОТИН_35</t>
  </si>
  <si>
    <t>ДОМ КУЛТУРЕ - КИНОЛОШКО ДРУШТВО "АБРАШЕВИЋ"</t>
  </si>
  <si>
    <t>КОБИШНИЦА</t>
  </si>
  <si>
    <t>НЕГОТИН_36</t>
  </si>
  <si>
    <t>ДОМ КУЛТУРЕ - КЛУБ АКТИВНИХ МЕШТАНА</t>
  </si>
  <si>
    <t>НЕГОТИН_37</t>
  </si>
  <si>
    <t>ДОМ КУЛТУРЕ - КЛУБ ПЕНЗИОНЕРА</t>
  </si>
  <si>
    <t>НЕГОТИН_38</t>
  </si>
  <si>
    <t>ОМЛАДИНСКИ КЛУБ</t>
  </si>
  <si>
    <t>КОВИЛОВО</t>
  </si>
  <si>
    <t>НЕГОТИН_39</t>
  </si>
  <si>
    <t>МАЛАЈНИЦА</t>
  </si>
  <si>
    <t>НЕГОТИН_40</t>
  </si>
  <si>
    <t>ЗГРАДА "ДИДИЋИ"</t>
  </si>
  <si>
    <t>НЕГОТИН_41</t>
  </si>
  <si>
    <t>МАЛА КАМЕНИЦА</t>
  </si>
  <si>
    <t>НЕГОТИН_42</t>
  </si>
  <si>
    <t>ДОМ КУЛТУРЕ - КЛУБ УДРУЖЕЊА ПЕНЗИОНЕРА</t>
  </si>
  <si>
    <t>НЕГОТИН_43</t>
  </si>
  <si>
    <t>НЕГОТИН_44</t>
  </si>
  <si>
    <t>НЕГОТИН_45</t>
  </si>
  <si>
    <t>МЗ "МОКРАЊЕ"</t>
  </si>
  <si>
    <t>МОКРАЊЕ</t>
  </si>
  <si>
    <t>НЕГОТИН_46</t>
  </si>
  <si>
    <t>ПЛАВНА</t>
  </si>
  <si>
    <t>НЕГОТИН_47</t>
  </si>
  <si>
    <t>РЕОНСКА ШКОЛА "ТУРИЈА"</t>
  </si>
  <si>
    <t>НЕГОТИН_48</t>
  </si>
  <si>
    <t>ЧИТАОНИЦА ДОМА КУЛТУРЕ</t>
  </si>
  <si>
    <t>ПОПОВИЦА</t>
  </si>
  <si>
    <t>НЕГОТИН_49</t>
  </si>
  <si>
    <t>ДОМ КУЛТУРЕ - МОТО КЛУБ</t>
  </si>
  <si>
    <t>ПРАХОВО</t>
  </si>
  <si>
    <t>НЕГОТИН_50</t>
  </si>
  <si>
    <t>НЕГОТИН_51</t>
  </si>
  <si>
    <t>НЕГОТИН_52</t>
  </si>
  <si>
    <t>НОВА ОСНОВНА ШКОЛА - УЧИОНИЦА БР. 1</t>
  </si>
  <si>
    <t>РАДУЈЕВАЦ</t>
  </si>
  <si>
    <t>НЕГОТИН_53</t>
  </si>
  <si>
    <t>НОВА ОСНОВНА ШКОЛА - УЧИОНИЦА БР. 2</t>
  </si>
  <si>
    <t>НЕГОТИН_54</t>
  </si>
  <si>
    <t>ЗГРАДА БАРБУЛОВИЋ ДРАГАНА - ПРОД. "ЦЕНТАР ПРОМЕТ"</t>
  </si>
  <si>
    <t>НЕГОТИН_55</t>
  </si>
  <si>
    <t>РАЈАЦ</t>
  </si>
  <si>
    <t>НЕГОТИН_56</t>
  </si>
  <si>
    <t>ПЕЗИОНЕРСКИ ДОМ</t>
  </si>
  <si>
    <t>РЕЧКА</t>
  </si>
  <si>
    <t>НЕГОТИН_57</t>
  </si>
  <si>
    <t>САЛА ДОМА КУЛТУРЕ</t>
  </si>
  <si>
    <t>РОГЉЕВО</t>
  </si>
  <si>
    <t>НЕГОТИН_58</t>
  </si>
  <si>
    <t>САМАРИНОВАЦ</t>
  </si>
  <si>
    <t>НЕГОТИН_59</t>
  </si>
  <si>
    <t>СИКОЛЕ</t>
  </si>
  <si>
    <t>НЕГОТИН_60</t>
  </si>
  <si>
    <t>НЕГОТИН_61</t>
  </si>
  <si>
    <t>СМЕДОВАЦ</t>
  </si>
  <si>
    <t>НЕГОТИН_62</t>
  </si>
  <si>
    <t>СРБОВО</t>
  </si>
  <si>
    <t>НЕГОТИН_63</t>
  </si>
  <si>
    <t>ТАМНИЧ</t>
  </si>
  <si>
    <t>НЕГОТИН_64</t>
  </si>
  <si>
    <t>НЕГОТИН_65</t>
  </si>
  <si>
    <t>УРОВИЦА</t>
  </si>
  <si>
    <t>НЕГОТИН_66</t>
  </si>
  <si>
    <t>НЕГОТИН_67</t>
  </si>
  <si>
    <t>БОРАЧКИ КЛУБ</t>
  </si>
  <si>
    <t>НЕГОТИН_68</t>
  </si>
  <si>
    <t>ДОМ КУЛТУРЕ - ПЕНЗИОНЕРСКИ КЛУБ</t>
  </si>
  <si>
    <t>ЦРНОМАСНИЦА</t>
  </si>
  <si>
    <t>НЕГОТИН_69</t>
  </si>
  <si>
    <t>ЧУБРА</t>
  </si>
  <si>
    <t>НЕГОТИН_70</t>
  </si>
  <si>
    <t xml:space="preserve">ЗАЈЕЧАРСКИ УПРАВНИ ОКРУГ </t>
  </si>
  <si>
    <t>ШАРКАМЕН</t>
  </si>
  <si>
    <t>НЕГОТИН_71</t>
  </si>
  <si>
    <t>ШТУБИК</t>
  </si>
  <si>
    <t>НЕГОТИН_72</t>
  </si>
  <si>
    <t>МАЛИ ИЗВОР</t>
  </si>
  <si>
    <t>ЗАЈЕЧАР</t>
  </si>
  <si>
    <t>ЗАВОД ЗА ЈАВНО ЗДРАВЉЕ "ТИМОК"</t>
  </si>
  <si>
    <t>ЗАЈЕЧАР, СРЕМСКА БР. 13</t>
  </si>
  <si>
    <t>ЗАЈЕЧАР_1</t>
  </si>
  <si>
    <t>ОШ "ЉУБИЦА РАДОСАВЉЕВИЋ НАДА"</t>
  </si>
  <si>
    <t>ЗАЈЕЧАР, ИВАНА МИЛУТИНОВИЋА ББ</t>
  </si>
  <si>
    <t>ЗАЈЕЧАР_2</t>
  </si>
  <si>
    <t>ЗАЈЕЧАР_3</t>
  </si>
  <si>
    <t>МЗ "ТИМОК"</t>
  </si>
  <si>
    <t>ЗАЈЕЧАР, ЦАРА ДУШАНА БР. 20</t>
  </si>
  <si>
    <t>ЗАЈЕЧАР_4</t>
  </si>
  <si>
    <t>ЗГРАДА СКУПШТИНЕ ГРАДА - МАЛА САЛА</t>
  </si>
  <si>
    <t>ЗАЈЕЧАР, ТРГ ОСЛОБОЂЕЊА БР. 1</t>
  </si>
  <si>
    <t>ЗАЈЕЧАР_5</t>
  </si>
  <si>
    <t>ПРОСТОРИЈЕ ГРАДСКОГ ИНФОРМАТИВНО-УСЛУЖНОГ ЦЕНТРА</t>
  </si>
  <si>
    <t>ЗАЈЕЧАР_6</t>
  </si>
  <si>
    <t>ПЈ ШУМСКА УПРАВА ЗАЈЕЧАР</t>
  </si>
  <si>
    <t>ЗАЈЕЧАР, КОСТАДИНА КОСТАДИНОВИЋА ЧАУША БР. 1</t>
  </si>
  <si>
    <t>ЗАЈЕЧАР_7</t>
  </si>
  <si>
    <t>ВРТИЋ "ЂУРЂЕВАК"</t>
  </si>
  <si>
    <t>ЗАЈЕЧАР, КРАЉЕВИЦА ББ</t>
  </si>
  <si>
    <t>ЗАЈЕЧАР_8</t>
  </si>
  <si>
    <t>ЦРВЕНИ КРСТ ЗАЈЕЧАР - ИГРАОНИЦА ЗА ДЕЦУ</t>
  </si>
  <si>
    <t>ЗАЈЕЧАР, ОБИЛИЋЕВ ВЕНАЦ ББ</t>
  </si>
  <si>
    <t>ЗАЈЕЧАР_9</t>
  </si>
  <si>
    <t>MЗ "КРАЉЕВИЦА"</t>
  </si>
  <si>
    <t>ЗАЈЕЧАР, СВЕТОЗАРА МАРКОВИЋА БР. 23</t>
  </si>
  <si>
    <t>ЗАЈЕЧАР_10</t>
  </si>
  <si>
    <t>ШКОЛА "ЈЕЛЕНА МАЈСТОРОВИЋ"</t>
  </si>
  <si>
    <t>ЗАЈЕЧАР, ТИМОЧКЕ БУНЕ БР. 14</t>
  </si>
  <si>
    <t>ЗАЈЕЧАР_11</t>
  </si>
  <si>
    <t>ИСТОРИЈСКИ АРХИВ "ТИМОЧКА КРАЈИНА"</t>
  </si>
  <si>
    <t>ЗАЈЕЧАР, НИКОЛЕ ПАШИЋА БР. 160</t>
  </si>
  <si>
    <t>ЗАЈЕЧАР_12</t>
  </si>
  <si>
    <t>ПРОСТОРИЈЕ ФОНДА ПИО - ФИЛИЈАЛА ЗАЈЕЧАР</t>
  </si>
  <si>
    <t>ЗАЈЕЧАР, ТРГ КАРАЂОРЂЕВ ВЕНАЦ БР. 2</t>
  </si>
  <si>
    <t>ЗАЈЕЧАР_13</t>
  </si>
  <si>
    <t>ДОМ УЧЕНИКА СРЕДЊИХ ШКОЛА - БИВШИ ИНТЕРНАТ</t>
  </si>
  <si>
    <t>ЗАЈЕЧАР, СКОПЉАНСКА ББ</t>
  </si>
  <si>
    <t>ЗАЈЕЧАР_14</t>
  </si>
  <si>
    <t>ЗАЈЕЧАР, ЛЕЊИНОВА ББ</t>
  </si>
  <si>
    <t>ЗАЈЕЧАР_15</t>
  </si>
  <si>
    <t>ЗАЈЕЧАР_16</t>
  </si>
  <si>
    <t>МЗ "НИКОЛА ПАШИЋ"</t>
  </si>
  <si>
    <t>ЗАЈЕЧАР, ВОЈВОДЕ ПУТНИКА БР. 10</t>
  </si>
  <si>
    <t>ЗАЈЕЧАР_17</t>
  </si>
  <si>
    <t>УДРУЖЕЊЕ ПЕНЗИОНЕРА ГРАДА ЗАЈЕЧАРА</t>
  </si>
  <si>
    <t>ЗАЈЕЧАР, ПАНА ЂУКИЋА БР. 12</t>
  </si>
  <si>
    <t>ЗАЈЕЧАР_18</t>
  </si>
  <si>
    <t>"КОПАОНИК" БЕОГРАД - ПОСЛОВНИ ЦЕНТАР ЗАЈЕЧАР</t>
  </si>
  <si>
    <t>ЗАЈЕЧАР, ФИЛИПА КЉАЈИЋА БР. 2</t>
  </si>
  <si>
    <t>ЗАЈЕЧАР_19</t>
  </si>
  <si>
    <t>ДОМ КУЛТУРЕ МЗ "КОТЛУЈЕВАЦ" - ХОЛ</t>
  </si>
  <si>
    <t>ЗАЈЕЧАР, ДОБРИВОЈА РАДОСАВЉЕВИЋА БОБИЈА БР. 1</t>
  </si>
  <si>
    <t>ЗАЈЕЧАР_20</t>
  </si>
  <si>
    <t>ДОМ КУЛТУРЕ МЗ "КОТЛУЈЕВАЦ" – ШАЛТЕР САЛА ГРАДСКЕ УПРАВЕ</t>
  </si>
  <si>
    <t>ЗАЈЕЧАР_21</t>
  </si>
  <si>
    <t>ОШ "ХАЈДУК ВЕЉКО"</t>
  </si>
  <si>
    <t>ЗАЈЕЧАР, ДОБРИВОЈА РАДОСАВЉЕВИЋА БОБИЈА ББ</t>
  </si>
  <si>
    <t>ЗАЈЕЧАР_22</t>
  </si>
  <si>
    <t>ЗАЈЕЧАР_23</t>
  </si>
  <si>
    <t>ЗАЈЕЧАР, 14. СРПСКЕ УДАРНЕ БРИГАДЕ ББ</t>
  </si>
  <si>
    <t>ЗАЈЕЧАР_24</t>
  </si>
  <si>
    <t>ПРОДАВНИЦА "ЗАЈЕЧАР ПРОМЕТ" - ПРЕКО ПУТА СТАРОГ МЛИНА</t>
  </si>
  <si>
    <t>ВЕЛИКИ ИЗВОР</t>
  </si>
  <si>
    <t>ЗАЈЕЧАР_25</t>
  </si>
  <si>
    <t>ПРОДАВНИЦА "ЗАЈЕЧАР ПРОМЕТ"</t>
  </si>
  <si>
    <t>ЗАЈЕЧАР_26</t>
  </si>
  <si>
    <t>ХАЛОВО</t>
  </si>
  <si>
    <t>ЗАЈЕЧАР_27</t>
  </si>
  <si>
    <t>ВЕЛИКИ ЈАСЕНОВАЦ</t>
  </si>
  <si>
    <t>ЗАЈЕЧАР_28</t>
  </si>
  <si>
    <t>ОШ "15. МАЈ"</t>
  </si>
  <si>
    <t>ГРАДСКОВО</t>
  </si>
  <si>
    <t>ЗАЈЕЧАР_29</t>
  </si>
  <si>
    <t>МАЛИ ЈАСЕНОВАЦ</t>
  </si>
  <si>
    <t>ЗАЈЕЧАР_30</t>
  </si>
  <si>
    <t>ШИПИКОВО</t>
  </si>
  <si>
    <t>ЗАЈЕЧАР_31</t>
  </si>
  <si>
    <t>НИКОЛИЧЕВО</t>
  </si>
  <si>
    <t>ЗАЈЕЧАР_32</t>
  </si>
  <si>
    <t>ВРАЖОГРНАЦ</t>
  </si>
  <si>
    <t>ЗАЈЕЧАР_33</t>
  </si>
  <si>
    <t>ОШ "ЈЕРЕМИЈА ИЛИЋ - ЈЕГОР"</t>
  </si>
  <si>
    <t>РГОТИНА</t>
  </si>
  <si>
    <t>ЗАЈЕЧАР_34</t>
  </si>
  <si>
    <t>ЧИТАОНИЦА МЕСНЕ ЗАЈЕДНИЦЕ</t>
  </si>
  <si>
    <t>ТРНАВАЦ</t>
  </si>
  <si>
    <t>ЗАЈЕЧАР_35</t>
  </si>
  <si>
    <t>КОПРИВНИЦА</t>
  </si>
  <si>
    <t>ЗАЈЕЧАР_36</t>
  </si>
  <si>
    <t>ЈЕЛАШНИЦА</t>
  </si>
  <si>
    <t>ЗАЈЕЧАР_37</t>
  </si>
  <si>
    <t>ЧОКОЊАР</t>
  </si>
  <si>
    <t>ЗАЈЕЧАР_38</t>
  </si>
  <si>
    <t>ДУБОЧАНЕ</t>
  </si>
  <si>
    <t>ЗАЈЕЧАР_39</t>
  </si>
  <si>
    <t>ГЛОГОВИЦА</t>
  </si>
  <si>
    <t>ЗАЈЕЧАР_40</t>
  </si>
  <si>
    <t>МАЛА ЈАСИКОВА</t>
  </si>
  <si>
    <t>ЗАЈЕЧАР_41</t>
  </si>
  <si>
    <t>ДОМ КУЛТУРЕ - САЛА ЗА ПРОСЛАВЕ</t>
  </si>
  <si>
    <t>БРУСНИК</t>
  </si>
  <si>
    <t>ЗАЈЕЧАР_42</t>
  </si>
  <si>
    <t>КЛЕНОВАЦ</t>
  </si>
  <si>
    <t>ЗАЈЕЧАР_43</t>
  </si>
  <si>
    <t>ТАБАКОВАЦ</t>
  </si>
  <si>
    <t>ЗАЈЕЧАР_44</t>
  </si>
  <si>
    <t>ДОМ КУЛТУРЕ "СТАНОЈЕ ГАЧИЋ - МИЛОШ"</t>
  </si>
  <si>
    <t>САЛАШ</t>
  </si>
  <si>
    <t>ЗАЈЕЧАР_45</t>
  </si>
  <si>
    <t>МЕТРИШ</t>
  </si>
  <si>
    <t>ЗАЈЕЧАР_46</t>
  </si>
  <si>
    <t>ВЕЛИКА ЈАСИКОВА</t>
  </si>
  <si>
    <t>ЗАЈЕЧАР_47</t>
  </si>
  <si>
    <t>ВРАТАРНИЦА</t>
  </si>
  <si>
    <t>ЗАЈЕЧАР_48</t>
  </si>
  <si>
    <t>ЗАГРАЂЕ</t>
  </si>
  <si>
    <t>ЗАЈЕЧАР_49</t>
  </si>
  <si>
    <t>СЕЛАЧКА</t>
  </si>
  <si>
    <t>ЗАЈЕЧАР_50</t>
  </si>
  <si>
    <t>БОРОВАЦ</t>
  </si>
  <si>
    <t>ЗАЈЕЧАР_51</t>
  </si>
  <si>
    <t>ЗАЈЕЧАР_52</t>
  </si>
  <si>
    <t>ВРБИЦА</t>
  </si>
  <si>
    <t>ЗАЈЕЧАР_53</t>
  </si>
  <si>
    <t>МАРИНОВАЦ</t>
  </si>
  <si>
    <t>ЗАЈЕЧАР_54</t>
  </si>
  <si>
    <t>ГОРЊА БЕЛА РЕКА</t>
  </si>
  <si>
    <t>ЗАЈЕЧАР_55</t>
  </si>
  <si>
    <t>ЗАЈЕЧАР_56</t>
  </si>
  <si>
    <t>ЛАСОВО</t>
  </si>
  <si>
    <t>ЗАЈЕЧАР_57</t>
  </si>
  <si>
    <t>ЛЕНОВАЦ</t>
  </si>
  <si>
    <t>ЗАЈЕЧАР_58</t>
  </si>
  <si>
    <t>ШЉИВАР</t>
  </si>
  <si>
    <t>ЗАЈЕЧАР_59</t>
  </si>
  <si>
    <t>ГРЛИШТЕ</t>
  </si>
  <si>
    <t>ЗАЈЕЧАР_60</t>
  </si>
  <si>
    <t>ЛУБНИЦА</t>
  </si>
  <si>
    <t>ЗАЈЕЧАР_61</t>
  </si>
  <si>
    <t>ЗАЈЕЧАР_62</t>
  </si>
  <si>
    <t>ГАМЗИГРАД</t>
  </si>
  <si>
    <t>ЗАЈЕЧАР_63</t>
  </si>
  <si>
    <t>РЕСТОРАН "ЛИПОВ ЛАД"</t>
  </si>
  <si>
    <t>ГАМЗИГРАДСКА БАЊА</t>
  </si>
  <si>
    <t>ЗАЈЕЧАР_64</t>
  </si>
  <si>
    <t>ЗВЕЗДАН</t>
  </si>
  <si>
    <t>ЗАЈЕЧАР_65</t>
  </si>
  <si>
    <t>МЕСНА КАНЦЕЛАРИЈА - МАЛА САЛА</t>
  </si>
  <si>
    <t>ГРЉАН</t>
  </si>
  <si>
    <t>ЗАЈЕЧАР_66</t>
  </si>
  <si>
    <t>ЗАЈЕЧАР_67</t>
  </si>
  <si>
    <t>СИНДИКАЛНА ПОДРУЖНИЦА</t>
  </si>
  <si>
    <t>АВРАМИЦА</t>
  </si>
  <si>
    <t>ЗАЈЕЧАР_68</t>
  </si>
  <si>
    <t>ПРЛИТА</t>
  </si>
  <si>
    <t>ЗАЈЕЧАР_69</t>
  </si>
  <si>
    <t>RBR</t>
  </si>
  <si>
    <t>Округ</t>
  </si>
  <si>
    <t>Назив округа</t>
  </si>
  <si>
    <t xml:space="preserve">Општина </t>
  </si>
  <si>
    <t xml:space="preserve">Назив општине </t>
  </si>
  <si>
    <t xml:space="preserve">Уписани бирачи </t>
  </si>
  <si>
    <t>Изашли на изборе</t>
  </si>
  <si>
    <t>Број бирача који су гласали 
(Број гласачких листића који се налазе у гласачким кутијама)</t>
  </si>
  <si>
    <t xml:space="preserve">Неважећи </t>
  </si>
  <si>
    <t>Важећи</t>
  </si>
  <si>
    <t>АЛЕКСАНДАР ВУЧИЋ – Заједно можемо све</t>
  </si>
  <si>
    <t>ИВИЦА ДАЧИЋ-ПРЕМИЈЕР СРБИЈЕ</t>
  </si>
  <si>
    <t>САВЕЗ ВОЈВОЂАНСКИХ МАЂАРА-ИШТВАН ПАСТОР</t>
  </si>
  <si>
    <t>ДР ВОЈИСЛАВ ШЕШЕЉ – СРПСКА РАДИКАЛНА СТРАНКА</t>
  </si>
  <si>
    <t>МАРИНИКА ТЕПИЋ – УЈЕДИЊЕНИ ЗА ПОБЕДУ СРБИЈЕ</t>
  </si>
  <si>
    <t>ДР МИЛОШ ЈОВАНОВИЋ - НАДА ЗА СРБИЈУ</t>
  </si>
  <si>
    <t>МИЛИЦА ЂУРЂЕВИЋ СТАМЕНКОВСКИ - СРПСКА СТРАНКА ЗАВЕТНИЦИ</t>
  </si>
  <si>
    <t>МУФТИЈИН AМАНЕТ – СТРАНКА ПРАВДЕ И ПОМИРЕЊА</t>
  </si>
  <si>
    <t>МОРАМО – АКЦИЈА – ЕКОЛОШКИ УСТАНАК – НЕ ДАВИМО БЕОГРАД</t>
  </si>
  <si>
    <t>СУВЕРЕНИСТИ – ДЈБ, ЗС,ЖЗС</t>
  </si>
  <si>
    <t>СРПСКИ ПОКРЕТ ДВЕРИ - ПОКС</t>
  </si>
  <si>
    <t>ЗАЈЕДНО ЗА ВОЈВОДИНУ - ВОЈВОЂАНИ</t>
  </si>
  <si>
    <t>СДА САНЏАКА – ДР СУЛЕЈМАН УГЉАНИН</t>
  </si>
  <si>
    <t>БОРИС ТАДИЋ – АЈМО ЉУДИ</t>
  </si>
  <si>
    <t>АЛТЕРНАТИВА ЗА ПРОМЕНЕ - АЛБАНСКА ДЕМОКРАТСКА АЛТЕРНАТИВА</t>
  </si>
  <si>
    <t>КОАЛИЦИЈА АЛБАНАЦА ДОЛИНЕ</t>
  </si>
  <si>
    <t>ОТЕТЕ БЕБЕ АНА ПЕЈИЋ</t>
  </si>
  <si>
    <t>РОМСКА ПАРТИЈА – СРЂАН ШАЈН</t>
  </si>
  <si>
    <t>РУСКИ МАЊИНСКИ САВЕЗ</t>
  </si>
  <si>
    <t>Неважећи</t>
  </si>
  <si>
    <t>МИША ВАЦИЋ</t>
  </si>
  <si>
    <t>БИЉАНА СТОЈКОВИЋ</t>
  </si>
  <si>
    <t>БРАНКА СТАМЕНКОВИЋ</t>
  </si>
  <si>
    <t>ЗДРАВКО ПОНОШ</t>
  </si>
  <si>
    <t>МИЛИЦА ЂУРЂЕВИЋ СТАМЕНКОВСКИ</t>
  </si>
  <si>
    <t xml:space="preserve">АЛЕКСАНДАР ВУЧИЋ </t>
  </si>
  <si>
    <t>ДР МИЛОШ ЈОВАНОВИЋ</t>
  </si>
  <si>
    <t>БОШКО ОБРАДОВИЋ</t>
  </si>
  <si>
    <t>Борски округ</t>
  </si>
  <si>
    <t>Неготин</t>
  </si>
  <si>
    <t>Зајечарски округ</t>
  </si>
  <si>
    <t>Зајечар</t>
  </si>
  <si>
    <t>Parlamentarni izbori 2022</t>
  </si>
  <si>
    <t>Predsednički izbori 2022</t>
  </si>
  <si>
    <t xml:space="preserve">Рбр. бирачког места </t>
  </si>
  <si>
    <t>Гласали</t>
  </si>
  <si>
    <t>АЛЕКСАНДАР ВУЧИЋ – Србија не сме да стане</t>
  </si>
  <si>
    <t>ИВИЦА ДАЧИЋ – ПРЕМИЈЕР СРБИЈЕ</t>
  </si>
  <si>
    <t>МИЛИЦА ЂУРЂЕВИЋ СТАМЕНКОВСКИ - БОШКО ОБРАДОВИЋ - НАЦИОНАЛНО ОКУПЉАЊЕ - ДРЖАВОТВОРНА СНАГА - Српска странка Заветници - Српски покрет Двери</t>
  </si>
  <si>
    <t>ДР МИЛОШ ЈОВАНОВИЋ – НАДА ЗА СРБИЈУ – Српска коалиција НАДА – Национално демократска алтернатива – Нова Демократска странка Србије ( Нoви ДСС) – Покрет обнове Краљевине Србије (ПОКС) – Војислав Михаиловић</t>
  </si>
  <si>
    <t>VАJDASÁGI MAGYAR SZÖVETSÉG – Elnökünkért, közösségünkért, a jövőért! / САВЕЗ ВОЈВОЂАНСКИХ МАЂАРА – За  нашег Председника, за нашу заједницу, за будућност!</t>
  </si>
  <si>
    <t>СРБИЈА ПРОТИВ НАСИЉА – МИРОСЛАВ МИКИ АЛЕКСИЋ - МАРИНИКА ТЕПИЋ (СТРАНКА СЛОБОДЕ И ПРАВДЕ, НАРОДНИ ПОКРЕТ СРБИЈЕ, ЗЕЛЕНО-ЛЕВИ ФРОНТ, НЕ ДАВИМО БЕОГРАД, ЕКОЛОШКИ УСТАНАК – ЋУТА, ДЕМОКРАТСКА СТРАНКА, ПОКРЕТ СЛОБОДНИХ ГРАЂАНА, СРБИЈА ЦЕНТАР, ЗАЈЕДНО, ПОКРЕТ ЗА ПРЕОКРЕТ, УДРУЖЕНИ СИНДИКАТИ СРБИЈЕ „СЛОГА“, НОВО ЛИЦЕ СРБИЈЕ)</t>
  </si>
  <si>
    <t>USAME ZUKORLIĆ – UJEDINJENI ZA PRAVDU – STRANKA PRAVDE I POMIRENJA – BOŠNJACI SANDŽAKA, TOMISLAV ŽIGMANOV - DEMOKRATSKI SAVEZ HRVATA U VOJVODINI  / УСАМЕ ЗУКОРЛИЋ – УЈЕДИЊЕНИ ЗА ПРАВДУ – СТРАНКА ПРАВДЕ И ПОМИРЕЊА – БОШЊАЦИ САНЏАКА, ТОМИСЛАВ ЖИГМАНОВ - ДЕМОКРАТСКИ САВЕЗ ХРВАТА У ВОЈВОДИНИ</t>
  </si>
  <si>
    <t>СДА Санџака - др Сулејман Угљанин</t>
  </si>
  <si>
    <t>ЗАЈЕДНО ЗА БУДУЋНОСТ И РАЗВОЈ – КОАЛИЦИЈА  ЗА  МИР И ТОЛЕРАНЦИЈУ</t>
  </si>
  <si>
    <t>НАРОДНА СТРАНКА – СИГУРАН ИЗБОР. ОЗБИЉНИ ЉУДИ – ВУК ЈЕРЕМИЋ, Др САНДА РАШКОВИЋ ИВИЋ, СИНИША КОВАЧЕВИЋ, ВЛАДИМИР ГАЈИЋ, МАРИНА ЛИПОВАЦ ТАНАСКОВИЋ</t>
  </si>
  <si>
    <t>Саша Радуловић (Доста је било - ДЈБ) - Борис Тадић (Социјалдемократска странка - СДС) - Ана Пејић (Отете бебе) - Добро јутро Србијо</t>
  </si>
  <si>
    <t>“ПОЛИТИЧКА БОРБА АЛБАНАЦА СЕ НАСТАВЉА – ШАИП КАМБЕРИ“ “BETEJA POLITIKE E SHQIPTARËVE VAZHDON – SHAIP KAMBERI”</t>
  </si>
  <si>
    <t>“МИ-ГЛАС ИЗ НАРОДА, проф. др Бранимир Несторовић“</t>
  </si>
  <si>
    <t>СРБИЈА НА ЗАПАДУ – Зоран Вулетић – Немања Милошевић – ДА СЕ СТРУКА ПИТА – Владимир Ковачевић</t>
  </si>
  <si>
    <t>РУСКА СТРАНКА – СЛОБОДАН НИКОЛИЋ</t>
  </si>
  <si>
    <t>ЧЕДОМИР ЈОВАНОВИЋ – МОРА ДРУГАЧИЈЕ</t>
  </si>
  <si>
    <t>АЛБАНСКА ДЕМОКРАТСКА АЛТЕРНАТИВА – УЈЕДИЊЕНА ДОЛИНА / ALTERNATIVA DEMOKRATIKE SHQIPTARE-LUGINA E BASHKUAR</t>
  </si>
  <si>
    <t>Борски  управни округ</t>
  </si>
  <si>
    <t>Зајечарски  управни округ</t>
  </si>
  <si>
    <t>Parlamentarni izbori 2023</t>
  </si>
  <si>
    <t>SPN</t>
  </si>
  <si>
    <t>Nestor</t>
  </si>
  <si>
    <t>Ostalo</t>
  </si>
  <si>
    <t>SNS + SPS + SRS</t>
  </si>
  <si>
    <t>Desno</t>
  </si>
  <si>
    <t>Izlaznost</t>
  </si>
  <si>
    <t>SPN ubija</t>
  </si>
  <si>
    <t>SPN donekle ubija</t>
  </si>
  <si>
    <t>Desnicari jaki</t>
  </si>
  <si>
    <t>Nestor jak</t>
  </si>
  <si>
    <t>Duboka apstinencija</t>
  </si>
  <si>
    <t>Plitka apstinencija</t>
  </si>
  <si>
    <t>Ne diraj</t>
  </si>
  <si>
    <t>Bilo je Desnicari jaki otišlo na Plitka apstinencija</t>
  </si>
  <si>
    <t>Bilo je Desnicari jaki otišlo na Ne diraj</t>
  </si>
  <si>
    <t>Bilo je Ne diraj otišlo na Ne diraj</t>
  </si>
  <si>
    <t>Bilo je Duboka apstinencija otišlo na Ne diraj</t>
  </si>
  <si>
    <t>Bilo je Plitka apstinencija otišlo na Ne diraj</t>
  </si>
  <si>
    <t>Bilo je Duboka apstinencija otišlo na Plitka apstinencija</t>
  </si>
  <si>
    <t>Bilo je Desnicari jaki otišlo na Desnicari jaki</t>
  </si>
  <si>
    <t>Bilo je Ne diraj otišlo na Desnicari jaki</t>
  </si>
  <si>
    <t>Bilo je SPN ubija otišlo na SPN ubija</t>
  </si>
  <si>
    <t>Bilo je SPN donekle ubija otišlo na SPN donekle ubija</t>
  </si>
  <si>
    <t>Bilo je Desnicari jaki otišlo na SPN donekle ubija</t>
  </si>
  <si>
    <t>Bilo je Plitka apstinencija otišlo na Plitka apstinencija</t>
  </si>
  <si>
    <t>Bilo je Ne diraj otišlo na Plitka apstinencija</t>
  </si>
  <si>
    <t>Bilo je Duboka apstinencija otišlo na Duboka apstinencija</t>
  </si>
  <si>
    <t>Bilo je SPN donekle ubija otišlo na SPN ubija</t>
  </si>
  <si>
    <t>Bilo je Plitka apstinencija otišlo na Duboka apstinencija</t>
  </si>
  <si>
    <t>Bilo je Duboka apstinencija otišlo na SPN donekle ubija</t>
  </si>
  <si>
    <t>Bilo je Desnicari jaki otišlo na Duboka apstinencija</t>
  </si>
  <si>
    <t>Bilo je Ne diraj otišlo na Duboka apstinencija</t>
  </si>
  <si>
    <t>Bilo je Ne diraj otišlo na SPN donekle ubija</t>
  </si>
  <si>
    <t>Bilo je Duboka apstinencija otišlo na Desnicari jaki</t>
  </si>
  <si>
    <t>Bilo je Plitka apstinencija otišlo na SPN ubija</t>
  </si>
  <si>
    <t>Max procena glasova po BM</t>
  </si>
  <si>
    <t>Prioritet</t>
  </si>
  <si>
    <t>Upisanih birača</t>
  </si>
  <si>
    <t>Prioritet 
Da / Ne</t>
  </si>
  <si>
    <t>Izlaznost 2023</t>
  </si>
  <si>
    <t>Glasali 2023</t>
  </si>
  <si>
    <t>BM preko 800 birača</t>
  </si>
  <si>
    <t>3 _ 3</t>
  </si>
  <si>
    <t>2 _ 3</t>
  </si>
  <si>
    <t>1 _ 1</t>
  </si>
  <si>
    <t>6 _ 5</t>
  </si>
  <si>
    <t>5 _ 3</t>
  </si>
  <si>
    <t>5 _ 5</t>
  </si>
  <si>
    <t>6 _ 3</t>
  </si>
  <si>
    <t>5 _ 6</t>
  </si>
  <si>
    <t>2 _ 2</t>
  </si>
  <si>
    <t>6 _ 8</t>
  </si>
  <si>
    <t>5 _ 8</t>
  </si>
  <si>
    <t>3 _ 8</t>
  </si>
  <si>
    <t>1 _ 2</t>
  </si>
  <si>
    <t>6 _ 6</t>
  </si>
  <si>
    <t>2 _ 5</t>
  </si>
  <si>
    <t>3 _ 5</t>
  </si>
  <si>
    <t>2 _ 8</t>
  </si>
  <si>
    <t>1 _ 6</t>
  </si>
  <si>
    <t>8 _ 3</t>
  </si>
  <si>
    <t>8 _ 8</t>
  </si>
  <si>
    <t>8 _ 6</t>
  </si>
  <si>
    <t>8 _ 5</t>
  </si>
  <si>
    <t>4 _ 3</t>
  </si>
  <si>
    <t>Bilo je Desnicari jaki otišlo na Nestor jak</t>
  </si>
  <si>
    <t>Upisanih</t>
  </si>
  <si>
    <t xml:space="preserve">ЗЛАТИБОРСКИ УПРАВНИ ОКРУГ </t>
  </si>
  <si>
    <t>КОСЈЕРИЋ</t>
  </si>
  <si>
    <t>КОСЈЕРИЋ, ПУТ КРАЉА ПЕТРА ПРВОГ БР. 99</t>
  </si>
  <si>
    <t>КОСЈЕРИЋ_4</t>
  </si>
  <si>
    <t>БРАЈКОВИЋИ</t>
  </si>
  <si>
    <t>16</t>
  </si>
  <si>
    <t>Златиборски округ</t>
  </si>
  <si>
    <t>Косјерић</t>
  </si>
  <si>
    <t>Златиборски  управни округ</t>
  </si>
  <si>
    <t>КУЋА БОЈАНА РАДОВАНОВИЋА</t>
  </si>
  <si>
    <t>КОСЈЕРИЋ, КАРАЂОРЂЕВА БР. 164</t>
  </si>
  <si>
    <t>КОСЈЕРИЋ_5</t>
  </si>
  <si>
    <t>КУЋА ЈЕШИЋ ДРАГОЈЛА</t>
  </si>
  <si>
    <t>ГАЛОВИЋИ</t>
  </si>
  <si>
    <t>ДОМ</t>
  </si>
  <si>
    <t>СЕЧА РЕКА, ХАЈДУК ВЕЉКОВА БР. 83</t>
  </si>
  <si>
    <t>КОСЈЕРИЋ_6</t>
  </si>
  <si>
    <t>ГОДЉЕВО</t>
  </si>
  <si>
    <t>РАЖАНА, ВЕЛИМИРА ЛАЗОВИЋА БР. 7</t>
  </si>
  <si>
    <t>КОСЈЕРИЋ_9</t>
  </si>
  <si>
    <t>СКАКАВЦИ</t>
  </si>
  <si>
    <t>КОСЈЕРИЋ, КНЕЗА АЛЕКСЕ ПОПОВИЋА БР. 16</t>
  </si>
  <si>
    <t>КОСЈЕРИЋ_15</t>
  </si>
  <si>
    <t>СУБЈЕЛ</t>
  </si>
  <si>
    <t>КОСЈЕРИЋ, МИЛОВАНА ГЛИШИЋА БР. 4</t>
  </si>
  <si>
    <t>КОСЈЕРИЋ_17</t>
  </si>
  <si>
    <t>МУШИЋИ</t>
  </si>
  <si>
    <t>ОСНОВНА ШКОЛА - ТРПЕЗАРИЈА</t>
  </si>
  <si>
    <t>КОСЈЕРИЋ, ПУТ КРАЉА ПЕТРА ПРВОГ БР. 97</t>
  </si>
  <si>
    <t>КОСЈЕРИЋ_18</t>
  </si>
  <si>
    <t>ТУБИЋИ</t>
  </si>
  <si>
    <t>РАЖАНА, ПУТ КРАЉА ПЕТРА ПРВОГ БР. 245</t>
  </si>
  <si>
    <t>КОСЈЕРИЋ_19</t>
  </si>
  <si>
    <t>МЕСНА ЗАЈЕДНИЦА У РАЖАНИ</t>
  </si>
  <si>
    <t>МРЧИЋИ</t>
  </si>
  <si>
    <t>ВАРДА, МАРКА КРАЉЕВИЋА БР. 65</t>
  </si>
  <si>
    <t>КОСЈЕРИЋ_21</t>
  </si>
  <si>
    <t>МАКОВИШТЕ</t>
  </si>
  <si>
    <t>ДОМ СЕЛА КОСЈЕРИЋ</t>
  </si>
  <si>
    <t>КОСЈЕРИЋ, МИХАИЛА РОГИЋА БР. 9</t>
  </si>
  <si>
    <t>КОСЈЕРИЋ_23</t>
  </si>
  <si>
    <t>ЗГРАДА СКУПШТИНЕ ОПШТИНЕ КОСЈЕРИЋ</t>
  </si>
  <si>
    <t>КОСЈЕРИЋ, ОЛГЕ ГРБИЋ БР. 10</t>
  </si>
  <si>
    <t>КОСЈЕРИЋ_24</t>
  </si>
  <si>
    <t>КОСЈЕРИЋ, СВЕТОСАВСКА БР. 2</t>
  </si>
  <si>
    <t>КОСЈЕРИЋ_27</t>
  </si>
  <si>
    <t>КУЋА ДИВНИЋ ЗДРАВКА</t>
  </si>
  <si>
    <t>РАЖАНА, ЈАСИК БР. 26</t>
  </si>
  <si>
    <t>КОСЈЕРИЋ_8</t>
  </si>
  <si>
    <t>МИОНИЦА</t>
  </si>
  <si>
    <t>ПРОСТОРИЈЕ КЈП "ЕЛАН"</t>
  </si>
  <si>
    <t>КОСЈЕРИЋ, НИКОЛЕ ТЕСЛЕ БР. 1</t>
  </si>
  <si>
    <t>КОСЈЕРИЋ_25</t>
  </si>
  <si>
    <t>КУЋА ПЕРИШИЋ МИЉКА</t>
  </si>
  <si>
    <t>КОСЈЕРИЋ, КАРАЂОРЂЕВА БР. 118</t>
  </si>
  <si>
    <t>КОСЈЕРИЋ_26</t>
  </si>
  <si>
    <t>ХАН</t>
  </si>
  <si>
    <t>КОСЈЕРИЋ, КАРАЂОРЂЕВА БР. 7</t>
  </si>
  <si>
    <t>КОСЈЕРИЋ_28</t>
  </si>
  <si>
    <t>КОСЈЕРИЋ, ОЛГЕ ГРБИЋ БР. 5</t>
  </si>
  <si>
    <t>КОСЈЕРИЋ_29</t>
  </si>
  <si>
    <t>ВАРДА, ПОВЛЕНСКА БР. 16</t>
  </si>
  <si>
    <t>КОСЈЕРИЋ_1</t>
  </si>
  <si>
    <t>ВАРДА</t>
  </si>
  <si>
    <t>ВАРДА, ГОДЕЧЕВСКА БР. 161</t>
  </si>
  <si>
    <t>КОСЈЕРИЋ_2</t>
  </si>
  <si>
    <t>ГОДЕЧЕВО</t>
  </si>
  <si>
    <t>ОСНОВНА ШКОЛА - УЧИОНИЦА НА СПРАТУ</t>
  </si>
  <si>
    <t>КОСЈЕРИЋ_3</t>
  </si>
  <si>
    <t>РАЖАНА, ШКОЛСКА БР. 18</t>
  </si>
  <si>
    <t>КОСЈЕРИЋ_7</t>
  </si>
  <si>
    <t>ДРЕНОВЦИ</t>
  </si>
  <si>
    <t>РАЖАНА, РАДИВОЈА АЛЕКСИЋА БР. 1</t>
  </si>
  <si>
    <t>КОСЈЕРИЋ_10</t>
  </si>
  <si>
    <t>РАДАНОВЦИ</t>
  </si>
  <si>
    <t>РАЖАНА, ЧЕДА ВУЈАДИНОВИЋА БР. 84</t>
  </si>
  <si>
    <t>КОСЈЕРИЋ_11</t>
  </si>
  <si>
    <t>РОСИЋИ</t>
  </si>
  <si>
    <t>СЕЧА РЕКА, МИШЕ ЗАРИЋА БР. 168</t>
  </si>
  <si>
    <t>КОСЈЕРИЋ_12</t>
  </si>
  <si>
    <t>ЗАРИЋИ</t>
  </si>
  <si>
    <t>СЕЧА РЕКА, МИЛАНА ЈОВЧИЋА БР. 119</t>
  </si>
  <si>
    <t>КОСЈЕРИЋ_13</t>
  </si>
  <si>
    <t>СЕЧА РЕКА</t>
  </si>
  <si>
    <t>СЕЧА РЕКА, МИЛАНА ЈОВЧИЋА БР. 115</t>
  </si>
  <si>
    <t>КОСЈЕРИЋ_14</t>
  </si>
  <si>
    <t>ПРОДАВНИЦА СУБЈЕЛ</t>
  </si>
  <si>
    <t>КОСЈЕРИЋ, ЖАРКА ОСТОЈИЋА БР. 44</t>
  </si>
  <si>
    <t>КОСЈЕРИЋ_16</t>
  </si>
  <si>
    <t>КУЋА МИТРОВИЋ МИЛУТИНА</t>
  </si>
  <si>
    <t>ШЕВРЉУГЕ</t>
  </si>
  <si>
    <t>7 _ 3</t>
  </si>
  <si>
    <t>SNS na nivou proseka</t>
  </si>
  <si>
    <t>Bilo je Desnicari jaki otišlo na SNS na nivou proseka</t>
  </si>
  <si>
    <t>ВАРДА, МАРКА КРАЉЕВИЋА БР. 91</t>
  </si>
  <si>
    <t>КОСЈЕРИЋ_20</t>
  </si>
  <si>
    <t>КУЋА РАДОВАНОВИЋ ДРАГИШЕ</t>
  </si>
  <si>
    <t>КОСЈЕРИЋ, КОСЈЕРИЋКА БР. 22</t>
  </si>
  <si>
    <t>КОСЈЕРИЋ_22</t>
  </si>
  <si>
    <t>КУЋА РАДОВАНОВИЋ РАЈКА</t>
  </si>
  <si>
    <t>КОСЈЕРИЋ СЕЛО</t>
  </si>
  <si>
    <t>Zaječar</t>
  </si>
  <si>
    <t>Kosjerić</t>
  </si>
  <si>
    <t>Negotin</t>
  </si>
  <si>
    <t>projekcija za pobedu 1</t>
  </si>
  <si>
    <t>projekcija za pobedu 2</t>
  </si>
  <si>
    <t>Broj birača</t>
  </si>
  <si>
    <t>BM</t>
  </si>
  <si>
    <t>Broj birača 2023</t>
  </si>
  <si>
    <t>NE-SNS</t>
  </si>
  <si>
    <t>Broj birača 2025</t>
  </si>
  <si>
    <t>Broj izašlih 2023</t>
  </si>
  <si>
    <t>POKUŠAJ TARGET</t>
  </si>
  <si>
    <t>TARGET BR BIRAČA</t>
  </si>
  <si>
    <t>11h</t>
  </si>
  <si>
    <t>15h</t>
  </si>
  <si>
    <t>Delta 2023</t>
  </si>
  <si>
    <t>Delta 2023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</si>
</sst>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241A]General"/>
  </numFmts>
  <fonts count="16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&quot;Times New Roman&quot;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1"/>
    <xf numFmtId="0" fontId="8" fillId="0" borderId="1"/>
    <xf numFmtId="165" fontId="13" fillId="0" borderId="1" applyBorder="0" applyProtection="0"/>
    <xf numFmtId="0" fontId="15" fillId="0" borderId="1"/>
    <xf numFmtId="9" fontId="5" fillId="0" borderId="1" applyFont="0" applyFill="0" applyBorder="0" applyAlignment="0" applyProtection="0"/>
    <xf numFmtId="43" fontId="5" fillId="0" borderId="1" applyFont="0" applyFill="0" applyBorder="0" applyAlignment="0" applyProtection="0"/>
  </cellStyleXfs>
  <cellXfs count="14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0" fontId="0" fillId="0" borderId="0" xfId="1" applyNumberFormat="1" applyFont="1"/>
    <xf numFmtId="0" fontId="0" fillId="0" borderId="0" xfId="1" applyNumberFormat="1" applyFont="1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/>
    </xf>
    <xf numFmtId="0" fontId="0" fillId="5" borderId="0" xfId="0" applyFill="1" applyAlignment="1">
      <alignment horizontal="center"/>
    </xf>
    <xf numFmtId="9" fontId="0" fillId="0" borderId="0" xfId="1" applyFont="1" applyFill="1" applyAlignment="1">
      <alignment horizontal="center"/>
    </xf>
    <xf numFmtId="164" fontId="0" fillId="0" borderId="0" xfId="0" applyNumberFormat="1"/>
    <xf numFmtId="43" fontId="0" fillId="0" borderId="0" xfId="0" applyNumberFormat="1"/>
    <xf numFmtId="9" fontId="0" fillId="0" borderId="0" xfId="1" applyFont="1"/>
    <xf numFmtId="43" fontId="0" fillId="0" borderId="0" xfId="1" applyNumberFormat="1" applyFont="1"/>
    <xf numFmtId="0" fontId="2" fillId="2" borderId="0" xfId="0" applyFont="1" applyFill="1"/>
    <xf numFmtId="0" fontId="0" fillId="6" borderId="0" xfId="0" applyFill="1" applyAlignment="1">
      <alignment horizontal="center" vertical="center" wrapText="1"/>
    </xf>
    <xf numFmtId="0" fontId="0" fillId="6" borderId="0" xfId="1" applyNumberFormat="1" applyFont="1" applyFill="1"/>
    <xf numFmtId="0" fontId="0" fillId="0" borderId="1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/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4" xfId="0" applyBorder="1"/>
    <xf numFmtId="0" fontId="6" fillId="0" borderId="15" xfId="0" applyFont="1" applyBorder="1"/>
    <xf numFmtId="0" fontId="0" fillId="0" borderId="16" xfId="0" applyBorder="1"/>
    <xf numFmtId="0" fontId="0" fillId="0" borderId="11" xfId="0" applyBorder="1"/>
    <xf numFmtId="0" fontId="5" fillId="0" borderId="15" xfId="0" applyFont="1" applyBorder="1"/>
    <xf numFmtId="3" fontId="9" fillId="0" borderId="7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6" xfId="0" applyBorder="1"/>
    <xf numFmtId="0" fontId="5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14" xfId="0" applyBorder="1"/>
    <xf numFmtId="3" fontId="10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9" fontId="5" fillId="0" borderId="16" xfId="1" applyFont="1" applyBorder="1" applyAlignment="1">
      <alignment horizontal="center" vertical="center" wrapText="1"/>
    </xf>
    <xf numFmtId="9" fontId="0" fillId="0" borderId="0" xfId="0" applyNumberFormat="1"/>
    <xf numFmtId="9" fontId="0" fillId="0" borderId="1" xfId="1" applyFont="1" applyFill="1" applyBorder="1"/>
    <xf numFmtId="0" fontId="12" fillId="0" borderId="6" xfId="0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 wrapText="1"/>
    </xf>
    <xf numFmtId="10" fontId="0" fillId="8" borderId="0" xfId="1" applyNumberFormat="1" applyFont="1" applyFill="1"/>
    <xf numFmtId="0" fontId="0" fillId="7" borderId="0" xfId="0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 wrapText="1"/>
    </xf>
    <xf numFmtId="10" fontId="0" fillId="7" borderId="0" xfId="1" applyNumberFormat="1" applyFont="1" applyFill="1"/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0" fillId="9" borderId="0" xfId="0" applyFill="1" applyAlignment="1">
      <alignment horizontal="center" vertical="center" wrapText="1"/>
    </xf>
    <xf numFmtId="10" fontId="0" fillId="9" borderId="0" xfId="1" applyNumberFormat="1" applyFont="1" applyFill="1"/>
    <xf numFmtId="0" fontId="0" fillId="10" borderId="0" xfId="0" applyFill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 wrapText="1"/>
    </xf>
    <xf numFmtId="10" fontId="0" fillId="10" borderId="0" xfId="1" applyNumberFormat="1" applyFont="1" applyFill="1"/>
    <xf numFmtId="0" fontId="0" fillId="11" borderId="0" xfId="0" applyFill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0" fillId="11" borderId="0" xfId="0" applyFill="1" applyAlignment="1">
      <alignment horizontal="center" vertical="center" wrapText="1"/>
    </xf>
    <xf numFmtId="10" fontId="0" fillId="11" borderId="0" xfId="1" applyNumberFormat="1" applyFont="1" applyFill="1"/>
    <xf numFmtId="0" fontId="5" fillId="0" borderId="0" xfId="0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0" fillId="12" borderId="0" xfId="0" applyFill="1" applyAlignment="1">
      <alignment horizontal="center" vertical="center" wrapText="1"/>
    </xf>
    <xf numFmtId="10" fontId="0" fillId="12" borderId="0" xfId="1" applyNumberFormat="1" applyFont="1" applyFill="1"/>
    <xf numFmtId="1" fontId="14" fillId="0" borderId="2" xfId="5" applyNumberFormat="1" applyFont="1" applyBorder="1" applyAlignment="1">
      <alignment horizontal="right" vertical="top" wrapText="1"/>
    </xf>
    <xf numFmtId="1" fontId="14" fillId="0" borderId="2" xfId="5" applyNumberFormat="1" applyFont="1" applyBorder="1" applyAlignment="1">
      <alignment horizontal="right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0" fillId="13" borderId="0" xfId="0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10" fontId="0" fillId="13" borderId="0" xfId="1" applyNumberFormat="1" applyFont="1" applyFill="1"/>
    <xf numFmtId="1" fontId="14" fillId="13" borderId="2" xfId="5" applyNumberFormat="1" applyFont="1" applyFill="1" applyBorder="1" applyAlignment="1">
      <alignment horizontal="right"/>
    </xf>
    <xf numFmtId="9" fontId="0" fillId="13" borderId="0" xfId="1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9">
    <cellStyle name="Comma" xfId="2" builtinId="3"/>
    <cellStyle name="Comma 2" xfId="8" xr:uid="{5CF4A69F-7BF3-4CEC-B7CF-434B535C1F9F}"/>
    <cellStyle name="Excel Built-in Normal" xfId="5" xr:uid="{9AF0FC17-5A2F-46FE-9CD0-354C5D69BCC2}"/>
    <cellStyle name="Normal" xfId="0" builtinId="0"/>
    <cellStyle name="Normal 2" xfId="3" xr:uid="{9402C95B-FA68-447A-AD81-9E3B3D02073C}"/>
    <cellStyle name="Normal 3" xfId="4" xr:uid="{EDD0A520-B7EC-4583-8D0A-A21BC51017FD}"/>
    <cellStyle name="Normal 4" xfId="6" xr:uid="{12E328A2-1B1D-4A9A-9DCB-55819291F0F5}"/>
    <cellStyle name="Percent" xfId="1" builtinId="5"/>
    <cellStyle name="Percent 2" xfId="7" xr:uid="{C5971D5D-F44D-415F-BFDB-96556898BBD5}"/>
  </cellStyles>
  <dxfs count="21"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A263-5832-40F4-9B48-D86C732DEB13}">
  <dimension ref="A1:DX71"/>
  <sheetViews>
    <sheetView workbookViewId="0">
      <selection activeCell="BZ29" sqref="BZ29"/>
    </sheetView>
  </sheetViews>
  <sheetFormatPr defaultRowHeight="14.6"/>
  <sheetData>
    <row r="1" spans="1:128" ht="18" customHeight="1">
      <c r="A1" s="1"/>
      <c r="B1" s="136" t="s">
        <v>0</v>
      </c>
      <c r="C1" s="136"/>
      <c r="D1" s="136"/>
      <c r="E1" s="136"/>
      <c r="F1" s="136"/>
      <c r="G1" s="136"/>
      <c r="H1" s="136"/>
      <c r="I1" s="136"/>
      <c r="J1" s="137" t="s">
        <v>1</v>
      </c>
      <c r="K1" s="137"/>
      <c r="L1" s="137"/>
      <c r="M1" s="137"/>
      <c r="N1" s="1"/>
      <c r="O1" s="1"/>
      <c r="P1" s="1"/>
      <c r="Q1" s="1"/>
      <c r="R1" s="138" t="s">
        <v>403</v>
      </c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 t="s">
        <v>404</v>
      </c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9" t="s">
        <v>426</v>
      </c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DD1" s="17"/>
      <c r="DE1" s="17"/>
      <c r="DF1" s="17"/>
      <c r="DG1" s="19"/>
      <c r="DH1" s="16"/>
      <c r="DI1" s="16"/>
      <c r="DJ1" s="16"/>
      <c r="DK1" s="16"/>
      <c r="DL1" s="16"/>
    </row>
    <row r="2" spans="1:128" s="11" customFormat="1" ht="54.65" customHeight="1">
      <c r="A2" s="6" t="s">
        <v>361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8" t="s">
        <v>7</v>
      </c>
      <c r="K2" s="8" t="s">
        <v>10</v>
      </c>
      <c r="L2" s="8" t="s">
        <v>5</v>
      </c>
      <c r="M2" s="8" t="s">
        <v>11</v>
      </c>
      <c r="N2" s="7" t="s">
        <v>362</v>
      </c>
      <c r="O2" s="7" t="s">
        <v>363</v>
      </c>
      <c r="P2" s="7" t="s">
        <v>364</v>
      </c>
      <c r="Q2" s="7" t="s">
        <v>365</v>
      </c>
      <c r="R2" s="7" t="s">
        <v>366</v>
      </c>
      <c r="S2" s="7" t="s">
        <v>367</v>
      </c>
      <c r="T2" s="7" t="s">
        <v>368</v>
      </c>
      <c r="U2" s="7" t="s">
        <v>369</v>
      </c>
      <c r="V2" s="7" t="s">
        <v>370</v>
      </c>
      <c r="W2" s="7" t="s">
        <v>371</v>
      </c>
      <c r="X2" s="7" t="s">
        <v>372</v>
      </c>
      <c r="Y2" s="7" t="s">
        <v>373</v>
      </c>
      <c r="Z2" s="7" t="s">
        <v>374</v>
      </c>
      <c r="AA2" s="7" t="s">
        <v>375</v>
      </c>
      <c r="AB2" s="7" t="s">
        <v>376</v>
      </c>
      <c r="AC2" s="7" t="s">
        <v>377</v>
      </c>
      <c r="AD2" s="7" t="s">
        <v>378</v>
      </c>
      <c r="AE2" s="7" t="s">
        <v>379</v>
      </c>
      <c r="AF2" s="7" t="s">
        <v>380</v>
      </c>
      <c r="AG2" s="7" t="s">
        <v>381</v>
      </c>
      <c r="AH2" s="7" t="s">
        <v>382</v>
      </c>
      <c r="AI2" s="7" t="s">
        <v>383</v>
      </c>
      <c r="AJ2" s="7" t="s">
        <v>384</v>
      </c>
      <c r="AK2" s="7" t="s">
        <v>385</v>
      </c>
      <c r="AL2" s="7" t="s">
        <v>386</v>
      </c>
      <c r="AM2" s="7" t="s">
        <v>387</v>
      </c>
      <c r="AN2" s="7" t="s">
        <v>388</v>
      </c>
      <c r="AO2" s="7" t="s">
        <v>389</v>
      </c>
      <c r="AP2" s="10" t="s">
        <v>366</v>
      </c>
      <c r="AQ2" s="10" t="s">
        <v>367</v>
      </c>
      <c r="AR2" s="10" t="s">
        <v>368</v>
      </c>
      <c r="AS2" s="10" t="s">
        <v>390</v>
      </c>
      <c r="AT2" s="10" t="s">
        <v>370</v>
      </c>
      <c r="AU2" s="10" t="s">
        <v>391</v>
      </c>
      <c r="AV2" s="10" t="s">
        <v>392</v>
      </c>
      <c r="AW2" s="10" t="s">
        <v>393</v>
      </c>
      <c r="AX2" s="10" t="s">
        <v>394</v>
      </c>
      <c r="AY2" s="10" t="s">
        <v>395</v>
      </c>
      <c r="AZ2" s="10" t="s">
        <v>396</v>
      </c>
      <c r="BA2" s="10" t="s">
        <v>397</v>
      </c>
      <c r="BB2" s="12" t="s">
        <v>398</v>
      </c>
      <c r="BC2" s="13" t="s">
        <v>362</v>
      </c>
      <c r="BD2" s="13" t="s">
        <v>363</v>
      </c>
      <c r="BE2" s="13" t="s">
        <v>364</v>
      </c>
      <c r="BF2" s="13" t="s">
        <v>365</v>
      </c>
      <c r="BG2" s="13" t="s">
        <v>405</v>
      </c>
      <c r="BH2" s="13" t="s">
        <v>366</v>
      </c>
      <c r="BI2" s="13" t="s">
        <v>367</v>
      </c>
      <c r="BJ2" s="13" t="s">
        <v>406</v>
      </c>
      <c r="BK2" s="13" t="s">
        <v>369</v>
      </c>
      <c r="BL2" s="13" t="s">
        <v>370</v>
      </c>
      <c r="BM2" s="13" t="s">
        <v>407</v>
      </c>
      <c r="BN2" s="13" t="s">
        <v>408</v>
      </c>
      <c r="BO2" s="13" t="s">
        <v>374</v>
      </c>
      <c r="BP2" s="13" t="s">
        <v>409</v>
      </c>
      <c r="BQ2" s="13" t="s">
        <v>410</v>
      </c>
      <c r="BR2" s="13" t="s">
        <v>411</v>
      </c>
      <c r="BS2" s="13" t="s">
        <v>412</v>
      </c>
      <c r="BT2" s="13" t="s">
        <v>413</v>
      </c>
      <c r="BU2" s="13" t="s">
        <v>414</v>
      </c>
      <c r="BV2" s="13" t="s">
        <v>415</v>
      </c>
      <c r="BW2" s="13" t="s">
        <v>416</v>
      </c>
      <c r="BX2" s="13" t="s">
        <v>417</v>
      </c>
      <c r="BY2" s="13" t="s">
        <v>418</v>
      </c>
      <c r="BZ2" s="13" t="s">
        <v>419</v>
      </c>
      <c r="CA2" s="13" t="s">
        <v>420</v>
      </c>
      <c r="CB2" s="13" t="s">
        <v>421</v>
      </c>
      <c r="CC2" s="13" t="s">
        <v>422</v>
      </c>
      <c r="CD2" s="13" t="s">
        <v>423</v>
      </c>
      <c r="CE2" s="11" t="s">
        <v>430</v>
      </c>
      <c r="CF2" s="11" t="s">
        <v>431</v>
      </c>
      <c r="CG2" s="11" t="s">
        <v>427</v>
      </c>
      <c r="CH2" s="11" t="s">
        <v>428</v>
      </c>
      <c r="CI2" s="11" t="s">
        <v>429</v>
      </c>
      <c r="CJ2" s="11" t="s">
        <v>432</v>
      </c>
      <c r="CK2" s="11" t="s">
        <v>430</v>
      </c>
      <c r="CL2" s="11" t="s">
        <v>431</v>
      </c>
      <c r="CM2" s="11" t="s">
        <v>427</v>
      </c>
      <c r="CN2" s="11" t="s">
        <v>428</v>
      </c>
      <c r="CO2" s="11" t="s">
        <v>429</v>
      </c>
      <c r="CP2" s="29">
        <v>2023</v>
      </c>
      <c r="CQ2" s="11" t="s">
        <v>430</v>
      </c>
      <c r="CR2" s="11" t="s">
        <v>431</v>
      </c>
      <c r="CS2" s="11" t="s">
        <v>427</v>
      </c>
      <c r="CT2" s="11" t="s">
        <v>428</v>
      </c>
      <c r="CU2" s="11" t="s">
        <v>429</v>
      </c>
      <c r="CV2" s="11" t="s">
        <v>432</v>
      </c>
      <c r="CW2" s="11" t="s">
        <v>430</v>
      </c>
      <c r="CX2" s="11" t="s">
        <v>431</v>
      </c>
      <c r="CY2" s="11" t="s">
        <v>427</v>
      </c>
      <c r="CZ2" s="11" t="s">
        <v>428</v>
      </c>
      <c r="DA2" s="11" t="s">
        <v>429</v>
      </c>
      <c r="DB2" s="29">
        <v>2022</v>
      </c>
      <c r="DD2" s="18">
        <v>2023</v>
      </c>
      <c r="DE2" s="18">
        <v>2022</v>
      </c>
      <c r="DF2" s="18"/>
      <c r="DG2" s="20" t="s">
        <v>462</v>
      </c>
      <c r="DH2" s="20" t="s">
        <v>464</v>
      </c>
      <c r="DI2" s="20" t="s">
        <v>468</v>
      </c>
      <c r="DJ2" s="20" t="s">
        <v>467</v>
      </c>
      <c r="DK2" s="20" t="s">
        <v>466</v>
      </c>
      <c r="DL2" s="20" t="s">
        <v>465</v>
      </c>
      <c r="DM2" s="20" t="s">
        <v>463</v>
      </c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</row>
    <row r="3" spans="1:128" ht="14.25" customHeight="1">
      <c r="A3" s="2">
        <v>4961</v>
      </c>
      <c r="B3" s="3" t="s">
        <v>197</v>
      </c>
      <c r="C3" s="3" t="s">
        <v>203</v>
      </c>
      <c r="D3" s="4">
        <v>1</v>
      </c>
      <c r="E3" s="3" t="s">
        <v>204</v>
      </c>
      <c r="F3" s="3" t="s">
        <v>205</v>
      </c>
      <c r="G3" s="4" t="s">
        <v>206</v>
      </c>
      <c r="H3" s="4" t="b">
        <v>1</v>
      </c>
      <c r="I3" s="4" t="b">
        <v>1</v>
      </c>
      <c r="J3" s="5" t="s">
        <v>206</v>
      </c>
      <c r="K3" s="5" t="s">
        <v>203</v>
      </c>
      <c r="L3" s="5" t="s">
        <v>204</v>
      </c>
      <c r="M3" s="5" t="s">
        <v>205</v>
      </c>
      <c r="N3" s="2" t="s">
        <v>15</v>
      </c>
      <c r="O3" s="2" t="s">
        <v>401</v>
      </c>
      <c r="P3" s="2">
        <v>70556</v>
      </c>
      <c r="Q3" s="2" t="s">
        <v>402</v>
      </c>
      <c r="R3" s="2">
        <v>1354</v>
      </c>
      <c r="S3" s="2">
        <v>700</v>
      </c>
      <c r="T3" s="2">
        <v>700</v>
      </c>
      <c r="U3" s="2">
        <v>29</v>
      </c>
      <c r="V3" s="2">
        <v>671</v>
      </c>
      <c r="W3" s="2">
        <v>297</v>
      </c>
      <c r="X3" s="2">
        <v>84</v>
      </c>
      <c r="Y3" s="2">
        <v>0</v>
      </c>
      <c r="Z3" s="2">
        <v>15</v>
      </c>
      <c r="AA3" s="2">
        <v>70</v>
      </c>
      <c r="AB3" s="2">
        <v>49</v>
      </c>
      <c r="AC3" s="2">
        <v>36</v>
      </c>
      <c r="AD3" s="2">
        <v>0</v>
      </c>
      <c r="AE3" s="2">
        <v>36</v>
      </c>
      <c r="AF3" s="2">
        <v>26</v>
      </c>
      <c r="AG3" s="2">
        <v>36</v>
      </c>
      <c r="AH3" s="2">
        <v>0</v>
      </c>
      <c r="AI3" s="2">
        <v>0</v>
      </c>
      <c r="AJ3" s="2">
        <v>13</v>
      </c>
      <c r="AK3" s="2">
        <v>0</v>
      </c>
      <c r="AL3" s="2">
        <v>0</v>
      </c>
      <c r="AM3" s="2">
        <v>5</v>
      </c>
      <c r="AN3" s="2">
        <v>2</v>
      </c>
      <c r="AO3" s="2">
        <v>2</v>
      </c>
      <c r="AP3" s="2">
        <v>1354</v>
      </c>
      <c r="AQ3" s="2">
        <v>700</v>
      </c>
      <c r="AR3" s="2">
        <v>700</v>
      </c>
      <c r="AS3" s="2">
        <v>20</v>
      </c>
      <c r="AT3" s="2">
        <v>680</v>
      </c>
      <c r="AU3" s="2">
        <v>7</v>
      </c>
      <c r="AV3" s="2">
        <v>28</v>
      </c>
      <c r="AW3" s="2">
        <v>18</v>
      </c>
      <c r="AX3" s="2">
        <v>91</v>
      </c>
      <c r="AY3" s="2">
        <v>39</v>
      </c>
      <c r="AZ3" s="2">
        <v>398</v>
      </c>
      <c r="BA3" s="2">
        <v>63</v>
      </c>
      <c r="BB3" s="2">
        <v>36</v>
      </c>
      <c r="BC3" s="11" t="s">
        <v>15</v>
      </c>
      <c r="BD3" s="11" t="s">
        <v>425</v>
      </c>
      <c r="BE3" s="11">
        <v>70556</v>
      </c>
      <c r="BF3" s="11" t="s">
        <v>402</v>
      </c>
      <c r="BG3" s="11">
        <v>1</v>
      </c>
      <c r="BH3" s="11">
        <v>1334</v>
      </c>
      <c r="BI3" s="11">
        <v>664</v>
      </c>
      <c r="BJ3" s="11">
        <v>664</v>
      </c>
      <c r="BK3" s="11">
        <v>15</v>
      </c>
      <c r="BL3" s="11">
        <v>649</v>
      </c>
      <c r="BM3" s="11">
        <v>329</v>
      </c>
      <c r="BN3" s="11">
        <v>47</v>
      </c>
      <c r="BO3" s="11">
        <v>6</v>
      </c>
      <c r="BP3" s="11">
        <v>23</v>
      </c>
      <c r="BQ3" s="11">
        <v>34</v>
      </c>
      <c r="BR3" s="11">
        <v>1</v>
      </c>
      <c r="BS3" s="11">
        <v>130</v>
      </c>
      <c r="BT3" s="11">
        <v>3</v>
      </c>
      <c r="BU3" s="11">
        <v>0</v>
      </c>
      <c r="BV3" s="11">
        <v>0</v>
      </c>
      <c r="BW3" s="11">
        <v>2</v>
      </c>
      <c r="BX3" s="11">
        <v>9</v>
      </c>
      <c r="BY3" s="11">
        <v>0</v>
      </c>
      <c r="BZ3" s="11">
        <v>46</v>
      </c>
      <c r="CA3" s="11">
        <v>2</v>
      </c>
      <c r="CB3" s="11">
        <v>9</v>
      </c>
      <c r="CC3" s="11">
        <v>8</v>
      </c>
      <c r="CD3" s="11">
        <v>0</v>
      </c>
      <c r="CE3">
        <v>382</v>
      </c>
      <c r="CF3">
        <v>59</v>
      </c>
      <c r="CG3">
        <v>149</v>
      </c>
      <c r="CH3">
        <v>46</v>
      </c>
      <c r="CI3">
        <v>13</v>
      </c>
      <c r="CJ3" s="14">
        <v>0.49775112443778113</v>
      </c>
      <c r="CK3" s="14">
        <v>0.57530120481927716</v>
      </c>
      <c r="CL3" s="14">
        <v>8.8855421686746983E-2</v>
      </c>
      <c r="CM3" s="14">
        <v>0.22439759036144577</v>
      </c>
      <c r="CN3" s="14">
        <v>6.9277108433734941E-2</v>
      </c>
      <c r="CO3" s="14">
        <v>1.9578313253012049E-2</v>
      </c>
      <c r="CP3" s="30">
        <v>6</v>
      </c>
      <c r="CQ3" s="15">
        <v>396</v>
      </c>
      <c r="CR3">
        <v>147</v>
      </c>
      <c r="CS3">
        <v>124</v>
      </c>
      <c r="CU3">
        <v>4</v>
      </c>
      <c r="CV3" s="14">
        <v>0.51698670605612995</v>
      </c>
      <c r="CW3" s="14">
        <v>0.56571428571428573</v>
      </c>
      <c r="CX3" s="14">
        <v>0.21</v>
      </c>
      <c r="CY3" s="14">
        <v>0.17714285714285713</v>
      </c>
      <c r="CZ3" s="14">
        <v>0</v>
      </c>
      <c r="DA3" s="14">
        <v>5.7142857142857143E-3</v>
      </c>
      <c r="DB3" s="30">
        <v>3</v>
      </c>
      <c r="DC3" s="14" t="s">
        <v>475</v>
      </c>
      <c r="DD3" s="17" t="s">
        <v>438</v>
      </c>
      <c r="DE3" s="17" t="s">
        <v>435</v>
      </c>
      <c r="DF3" s="17" t="s">
        <v>440</v>
      </c>
      <c r="DG3" s="21">
        <v>489.93</v>
      </c>
      <c r="DH3" s="22">
        <v>1334</v>
      </c>
      <c r="DI3" s="16">
        <v>1</v>
      </c>
      <c r="DJ3" s="16">
        <v>664</v>
      </c>
      <c r="DK3" s="23">
        <v>0.49775112443778113</v>
      </c>
      <c r="DL3" s="16">
        <v>1</v>
      </c>
      <c r="DM3">
        <v>6</v>
      </c>
      <c r="DN3" s="24"/>
      <c r="DO3" s="25"/>
      <c r="DP3" s="25"/>
      <c r="DQ3" s="27"/>
      <c r="DR3" s="26"/>
    </row>
    <row r="4" spans="1:128" ht="14.25" customHeight="1">
      <c r="A4" s="2">
        <v>4962</v>
      </c>
      <c r="B4" s="3" t="s">
        <v>197</v>
      </c>
      <c r="C4" s="3" t="s">
        <v>203</v>
      </c>
      <c r="D4" s="4">
        <v>2</v>
      </c>
      <c r="E4" s="3" t="s">
        <v>207</v>
      </c>
      <c r="F4" s="3" t="s">
        <v>208</v>
      </c>
      <c r="G4" s="4" t="s">
        <v>209</v>
      </c>
      <c r="H4" s="4" t="b">
        <v>1</v>
      </c>
      <c r="I4" s="4" t="b">
        <v>1</v>
      </c>
      <c r="J4" s="5" t="s">
        <v>209</v>
      </c>
      <c r="K4" s="5" t="s">
        <v>203</v>
      </c>
      <c r="L4" s="5" t="s">
        <v>207</v>
      </c>
      <c r="M4" s="5" t="s">
        <v>208</v>
      </c>
      <c r="N4" s="2" t="s">
        <v>15</v>
      </c>
      <c r="O4" s="2" t="s">
        <v>401</v>
      </c>
      <c r="P4" s="2">
        <v>70556</v>
      </c>
      <c r="Q4" s="2" t="s">
        <v>402</v>
      </c>
      <c r="R4" s="2">
        <v>1684</v>
      </c>
      <c r="S4" s="2">
        <v>781</v>
      </c>
      <c r="T4" s="2">
        <v>780</v>
      </c>
      <c r="U4" s="2">
        <v>28</v>
      </c>
      <c r="V4" s="2">
        <v>752</v>
      </c>
      <c r="W4" s="2">
        <v>319</v>
      </c>
      <c r="X4" s="2">
        <v>107</v>
      </c>
      <c r="Y4" s="2">
        <v>1</v>
      </c>
      <c r="Z4" s="2">
        <v>11</v>
      </c>
      <c r="AA4" s="2">
        <v>107</v>
      </c>
      <c r="AB4" s="2">
        <v>33</v>
      </c>
      <c r="AC4" s="2">
        <v>44</v>
      </c>
      <c r="AD4" s="2">
        <v>1</v>
      </c>
      <c r="AE4" s="2">
        <v>42</v>
      </c>
      <c r="AF4" s="2">
        <v>23</v>
      </c>
      <c r="AG4" s="2">
        <v>36</v>
      </c>
      <c r="AH4" s="2">
        <v>1</v>
      </c>
      <c r="AI4" s="2">
        <v>0</v>
      </c>
      <c r="AJ4" s="2">
        <v>17</v>
      </c>
      <c r="AK4" s="2">
        <v>0</v>
      </c>
      <c r="AL4" s="2">
        <v>0</v>
      </c>
      <c r="AM4" s="2">
        <v>3</v>
      </c>
      <c r="AN4" s="2">
        <v>3</v>
      </c>
      <c r="AO4" s="2">
        <v>4</v>
      </c>
      <c r="AP4" s="2">
        <v>1684</v>
      </c>
      <c r="AQ4" s="2">
        <v>781</v>
      </c>
      <c r="AR4" s="2">
        <v>780</v>
      </c>
      <c r="AS4" s="2">
        <v>17</v>
      </c>
      <c r="AT4" s="2">
        <v>763</v>
      </c>
      <c r="AU4" s="2">
        <v>9</v>
      </c>
      <c r="AV4" s="2">
        <v>29</v>
      </c>
      <c r="AW4" s="2">
        <v>26</v>
      </c>
      <c r="AX4" s="2">
        <v>142</v>
      </c>
      <c r="AY4" s="2">
        <v>44</v>
      </c>
      <c r="AZ4" s="2">
        <v>420</v>
      </c>
      <c r="BA4" s="2">
        <v>43</v>
      </c>
      <c r="BB4" s="2">
        <v>50</v>
      </c>
      <c r="BC4" s="11" t="s">
        <v>15</v>
      </c>
      <c r="BD4" s="11" t="s">
        <v>425</v>
      </c>
      <c r="BE4" s="11">
        <v>70556</v>
      </c>
      <c r="BF4" s="11" t="s">
        <v>402</v>
      </c>
      <c r="BG4" s="11">
        <v>2</v>
      </c>
      <c r="BH4" s="11">
        <v>1675</v>
      </c>
      <c r="BI4" s="11">
        <v>798</v>
      </c>
      <c r="BJ4" s="11">
        <v>798</v>
      </c>
      <c r="BK4" s="11">
        <v>16</v>
      </c>
      <c r="BL4" s="11">
        <v>782</v>
      </c>
      <c r="BM4" s="11">
        <v>336</v>
      </c>
      <c r="BN4" s="11">
        <v>68</v>
      </c>
      <c r="BO4" s="11">
        <v>12</v>
      </c>
      <c r="BP4" s="11">
        <v>20</v>
      </c>
      <c r="BQ4" s="11">
        <v>28</v>
      </c>
      <c r="BR4" s="11">
        <v>1</v>
      </c>
      <c r="BS4" s="11">
        <v>222</v>
      </c>
      <c r="BT4" s="11">
        <v>4</v>
      </c>
      <c r="BU4" s="11">
        <v>1</v>
      </c>
      <c r="BV4" s="11">
        <v>0</v>
      </c>
      <c r="BW4" s="11">
        <v>3</v>
      </c>
      <c r="BX4" s="11">
        <v>17</v>
      </c>
      <c r="BY4" s="11">
        <v>0</v>
      </c>
      <c r="BZ4" s="11">
        <v>60</v>
      </c>
      <c r="CA4" s="11">
        <v>1</v>
      </c>
      <c r="CB4" s="11">
        <v>2</v>
      </c>
      <c r="CC4" s="11">
        <v>7</v>
      </c>
      <c r="CD4" s="11">
        <v>0</v>
      </c>
      <c r="CE4">
        <v>416</v>
      </c>
      <c r="CF4">
        <v>51</v>
      </c>
      <c r="CG4">
        <v>247</v>
      </c>
      <c r="CH4">
        <v>60</v>
      </c>
      <c r="CI4">
        <v>8</v>
      </c>
      <c r="CJ4" s="14">
        <v>0.47641791044776122</v>
      </c>
      <c r="CK4" s="14">
        <v>0.52130325814536338</v>
      </c>
      <c r="CL4" s="14">
        <v>6.3909774436090222E-2</v>
      </c>
      <c r="CM4" s="14">
        <v>0.30952380952380953</v>
      </c>
      <c r="CN4" s="14">
        <v>7.5187969924812026E-2</v>
      </c>
      <c r="CO4" s="14">
        <v>1.0025062656641603E-2</v>
      </c>
      <c r="CP4" s="30">
        <v>2</v>
      </c>
      <c r="CQ4" s="15">
        <v>437</v>
      </c>
      <c r="CR4">
        <v>136</v>
      </c>
      <c r="CS4">
        <v>170</v>
      </c>
      <c r="CU4">
        <v>9</v>
      </c>
      <c r="CV4" s="14">
        <v>0.46377672209026127</v>
      </c>
      <c r="CW4" s="14">
        <v>0.55953905249679903</v>
      </c>
      <c r="CX4" s="14">
        <v>0.17413572343149808</v>
      </c>
      <c r="CY4" s="14">
        <v>0.2176696542893726</v>
      </c>
      <c r="CZ4" s="14">
        <v>0</v>
      </c>
      <c r="DA4" s="14">
        <v>1.1523687580025609E-2</v>
      </c>
      <c r="DB4" s="30">
        <v>5</v>
      </c>
      <c r="DC4" s="14" t="s">
        <v>483</v>
      </c>
      <c r="DD4" s="17" t="s">
        <v>434</v>
      </c>
      <c r="DE4" s="17" t="s">
        <v>437</v>
      </c>
      <c r="DF4" s="17" t="s">
        <v>456</v>
      </c>
      <c r="DG4" s="21">
        <v>670.22</v>
      </c>
      <c r="DH4" s="22">
        <v>1675</v>
      </c>
      <c r="DI4" s="16">
        <v>1</v>
      </c>
      <c r="DJ4" s="16">
        <v>798</v>
      </c>
      <c r="DK4" s="23">
        <v>0.47641791044776122</v>
      </c>
      <c r="DL4" s="16">
        <v>1</v>
      </c>
      <c r="DM4">
        <v>3</v>
      </c>
      <c r="DN4" s="24"/>
      <c r="DO4" s="25"/>
      <c r="DP4" s="25"/>
      <c r="DQ4" s="27"/>
      <c r="DR4" s="26"/>
    </row>
    <row r="5" spans="1:128" ht="14.25" customHeight="1">
      <c r="A5" s="2">
        <v>4963</v>
      </c>
      <c r="B5" s="3" t="s">
        <v>197</v>
      </c>
      <c r="C5" s="3" t="s">
        <v>203</v>
      </c>
      <c r="D5" s="4">
        <v>3</v>
      </c>
      <c r="E5" s="3" t="s">
        <v>207</v>
      </c>
      <c r="F5" s="3" t="s">
        <v>208</v>
      </c>
      <c r="G5" s="4" t="s">
        <v>210</v>
      </c>
      <c r="H5" s="4" t="b">
        <v>1</v>
      </c>
      <c r="I5" s="4" t="b">
        <v>1</v>
      </c>
      <c r="J5" s="5" t="s">
        <v>210</v>
      </c>
      <c r="K5" s="5" t="s">
        <v>203</v>
      </c>
      <c r="L5" s="5" t="s">
        <v>207</v>
      </c>
      <c r="M5" s="5" t="s">
        <v>208</v>
      </c>
      <c r="N5" s="2" t="s">
        <v>15</v>
      </c>
      <c r="O5" s="2" t="s">
        <v>401</v>
      </c>
      <c r="P5" s="2">
        <v>70556</v>
      </c>
      <c r="Q5" s="2" t="s">
        <v>402</v>
      </c>
      <c r="R5" s="2">
        <v>1511</v>
      </c>
      <c r="S5" s="2">
        <v>712</v>
      </c>
      <c r="T5" s="2">
        <v>711</v>
      </c>
      <c r="U5" s="2">
        <v>25</v>
      </c>
      <c r="V5" s="2">
        <v>686</v>
      </c>
      <c r="W5" s="2">
        <v>331</v>
      </c>
      <c r="X5" s="2">
        <v>94</v>
      </c>
      <c r="Y5" s="2">
        <v>0</v>
      </c>
      <c r="Z5" s="2">
        <v>12</v>
      </c>
      <c r="AA5" s="2">
        <v>82</v>
      </c>
      <c r="AB5" s="2">
        <v>38</v>
      </c>
      <c r="AC5" s="2">
        <v>32</v>
      </c>
      <c r="AD5" s="2">
        <v>0</v>
      </c>
      <c r="AE5" s="2">
        <v>32</v>
      </c>
      <c r="AF5" s="2">
        <v>13</v>
      </c>
      <c r="AG5" s="2">
        <v>25</v>
      </c>
      <c r="AH5" s="2">
        <v>0</v>
      </c>
      <c r="AI5" s="2">
        <v>0</v>
      </c>
      <c r="AJ5" s="2">
        <v>12</v>
      </c>
      <c r="AK5" s="2">
        <v>0</v>
      </c>
      <c r="AL5" s="2">
        <v>0</v>
      </c>
      <c r="AM5" s="2">
        <v>13</v>
      </c>
      <c r="AN5" s="2">
        <v>0</v>
      </c>
      <c r="AO5" s="2">
        <v>2</v>
      </c>
      <c r="AP5" s="2">
        <v>1511</v>
      </c>
      <c r="AQ5" s="2">
        <v>712</v>
      </c>
      <c r="AR5" s="2">
        <v>711</v>
      </c>
      <c r="AS5" s="2">
        <v>17</v>
      </c>
      <c r="AT5" s="2">
        <v>694</v>
      </c>
      <c r="AU5" s="2">
        <v>8</v>
      </c>
      <c r="AV5" s="2">
        <v>28</v>
      </c>
      <c r="AW5" s="2">
        <v>22</v>
      </c>
      <c r="AX5" s="2">
        <v>106</v>
      </c>
      <c r="AY5" s="2">
        <v>34</v>
      </c>
      <c r="AZ5" s="2">
        <v>424</v>
      </c>
      <c r="BA5" s="2">
        <v>39</v>
      </c>
      <c r="BB5" s="2">
        <v>33</v>
      </c>
      <c r="BC5" s="11" t="s">
        <v>15</v>
      </c>
      <c r="BD5" s="11" t="s">
        <v>425</v>
      </c>
      <c r="BE5" s="11">
        <v>70556</v>
      </c>
      <c r="BF5" s="11" t="s">
        <v>402</v>
      </c>
      <c r="BG5" s="11">
        <v>3</v>
      </c>
      <c r="BH5" s="11">
        <v>1485</v>
      </c>
      <c r="BI5" s="11">
        <v>720</v>
      </c>
      <c r="BJ5" s="11">
        <v>720</v>
      </c>
      <c r="BK5" s="11">
        <v>20</v>
      </c>
      <c r="BL5" s="11">
        <v>700</v>
      </c>
      <c r="BM5" s="11">
        <v>342</v>
      </c>
      <c r="BN5" s="11">
        <v>50</v>
      </c>
      <c r="BO5" s="11">
        <v>8</v>
      </c>
      <c r="BP5" s="11">
        <v>38</v>
      </c>
      <c r="BQ5" s="11">
        <v>27</v>
      </c>
      <c r="BR5" s="11">
        <v>0</v>
      </c>
      <c r="BS5" s="11">
        <v>172</v>
      </c>
      <c r="BT5" s="11">
        <v>0</v>
      </c>
      <c r="BU5" s="11">
        <v>0</v>
      </c>
      <c r="BV5" s="11">
        <v>2</v>
      </c>
      <c r="BW5" s="11">
        <v>8</v>
      </c>
      <c r="BX5" s="11">
        <v>5</v>
      </c>
      <c r="BY5" s="11">
        <v>0</v>
      </c>
      <c r="BZ5" s="11">
        <v>43</v>
      </c>
      <c r="CA5" s="11">
        <v>0</v>
      </c>
      <c r="CB5" s="11">
        <v>4</v>
      </c>
      <c r="CC5" s="11">
        <v>1</v>
      </c>
      <c r="CD5" s="11">
        <v>0</v>
      </c>
      <c r="CE5">
        <v>400</v>
      </c>
      <c r="CF5">
        <v>73</v>
      </c>
      <c r="CG5">
        <v>178</v>
      </c>
      <c r="CH5">
        <v>43</v>
      </c>
      <c r="CI5">
        <v>6</v>
      </c>
      <c r="CJ5" s="14">
        <v>0.48484848484848486</v>
      </c>
      <c r="CK5" s="14">
        <v>0.55555555555555558</v>
      </c>
      <c r="CL5" s="14">
        <v>0.10138888888888889</v>
      </c>
      <c r="CM5" s="14">
        <v>0.24722222222222223</v>
      </c>
      <c r="CN5" s="14">
        <v>5.9722222222222225E-2</v>
      </c>
      <c r="CO5" s="14">
        <v>8.3333333333333332E-3</v>
      </c>
      <c r="CP5" s="30">
        <v>5</v>
      </c>
      <c r="CQ5" s="15">
        <v>437</v>
      </c>
      <c r="CR5">
        <v>108</v>
      </c>
      <c r="CS5">
        <v>139</v>
      </c>
      <c r="CU5">
        <v>2</v>
      </c>
      <c r="CV5" s="14">
        <v>0.47121111846459296</v>
      </c>
      <c r="CW5" s="14">
        <v>0.6137640449438202</v>
      </c>
      <c r="CX5" s="14">
        <v>0.15168539325842698</v>
      </c>
      <c r="CY5" s="14">
        <v>0.1952247191011236</v>
      </c>
      <c r="CZ5" s="14">
        <v>0</v>
      </c>
      <c r="DA5" s="14">
        <v>2.8089887640449437E-3</v>
      </c>
      <c r="DB5" s="30">
        <v>5</v>
      </c>
      <c r="DC5" s="14" t="s">
        <v>474</v>
      </c>
      <c r="DD5" s="17" t="s">
        <v>437</v>
      </c>
      <c r="DE5" s="17" t="s">
        <v>437</v>
      </c>
      <c r="DF5" s="17" t="s">
        <v>453</v>
      </c>
      <c r="DG5" s="21">
        <v>558.59</v>
      </c>
      <c r="DH5" s="22">
        <v>1485</v>
      </c>
      <c r="DI5" s="16">
        <v>1</v>
      </c>
      <c r="DJ5" s="16">
        <v>720</v>
      </c>
      <c r="DK5" s="23">
        <v>0.48484848484848486</v>
      </c>
      <c r="DL5" s="16">
        <v>1</v>
      </c>
      <c r="DM5">
        <v>5</v>
      </c>
      <c r="DN5" s="24"/>
      <c r="DO5" s="25"/>
      <c r="DP5" s="25"/>
      <c r="DQ5" s="27"/>
      <c r="DR5" s="26"/>
    </row>
    <row r="6" spans="1:128" ht="14.25" customHeight="1">
      <c r="A6" s="2">
        <v>4964</v>
      </c>
      <c r="B6" s="3" t="s">
        <v>197</v>
      </c>
      <c r="C6" s="3" t="s">
        <v>203</v>
      </c>
      <c r="D6" s="4">
        <v>4</v>
      </c>
      <c r="E6" s="3" t="s">
        <v>211</v>
      </c>
      <c r="F6" s="3" t="s">
        <v>212</v>
      </c>
      <c r="G6" s="4" t="s">
        <v>213</v>
      </c>
      <c r="H6" s="4" t="b">
        <v>1</v>
      </c>
      <c r="I6" s="4" t="b">
        <v>1</v>
      </c>
      <c r="J6" s="5" t="s">
        <v>213</v>
      </c>
      <c r="K6" s="5" t="s">
        <v>203</v>
      </c>
      <c r="L6" s="5" t="s">
        <v>211</v>
      </c>
      <c r="M6" s="5" t="s">
        <v>212</v>
      </c>
      <c r="N6" s="2" t="s">
        <v>15</v>
      </c>
      <c r="O6" s="2" t="s">
        <v>401</v>
      </c>
      <c r="P6" s="2">
        <v>70556</v>
      </c>
      <c r="Q6" s="2" t="s">
        <v>402</v>
      </c>
      <c r="R6" s="2">
        <v>1330</v>
      </c>
      <c r="S6" s="2">
        <v>766</v>
      </c>
      <c r="T6" s="2">
        <v>766</v>
      </c>
      <c r="U6" s="2">
        <v>20</v>
      </c>
      <c r="V6" s="2">
        <v>746</v>
      </c>
      <c r="W6" s="2">
        <v>275</v>
      </c>
      <c r="X6" s="2">
        <v>107</v>
      </c>
      <c r="Y6" s="2">
        <v>0</v>
      </c>
      <c r="Z6" s="2">
        <v>16</v>
      </c>
      <c r="AA6" s="2">
        <v>122</v>
      </c>
      <c r="AB6" s="2">
        <v>47</v>
      </c>
      <c r="AC6" s="2">
        <v>48</v>
      </c>
      <c r="AD6" s="2">
        <v>0</v>
      </c>
      <c r="AE6" s="2">
        <v>47</v>
      </c>
      <c r="AF6" s="2">
        <v>28</v>
      </c>
      <c r="AG6" s="2">
        <v>37</v>
      </c>
      <c r="AH6" s="2">
        <v>1</v>
      </c>
      <c r="AI6" s="2">
        <v>0</v>
      </c>
      <c r="AJ6" s="2">
        <v>9</v>
      </c>
      <c r="AK6" s="2">
        <v>0</v>
      </c>
      <c r="AL6" s="2">
        <v>0</v>
      </c>
      <c r="AM6" s="2">
        <v>8</v>
      </c>
      <c r="AN6" s="2">
        <v>0</v>
      </c>
      <c r="AO6" s="2">
        <v>1</v>
      </c>
      <c r="AP6" s="2">
        <v>1330</v>
      </c>
      <c r="AQ6" s="2">
        <v>766</v>
      </c>
      <c r="AR6" s="2">
        <v>766</v>
      </c>
      <c r="AS6" s="2">
        <v>13</v>
      </c>
      <c r="AT6" s="2">
        <v>753</v>
      </c>
      <c r="AU6" s="2">
        <v>5</v>
      </c>
      <c r="AV6" s="2">
        <v>27</v>
      </c>
      <c r="AW6" s="2">
        <v>23</v>
      </c>
      <c r="AX6" s="2">
        <v>172</v>
      </c>
      <c r="AY6" s="2">
        <v>46</v>
      </c>
      <c r="AZ6" s="2">
        <v>389</v>
      </c>
      <c r="BA6" s="2">
        <v>46</v>
      </c>
      <c r="BB6" s="2">
        <v>45</v>
      </c>
      <c r="BC6" s="11" t="s">
        <v>15</v>
      </c>
      <c r="BD6" s="11" t="s">
        <v>425</v>
      </c>
      <c r="BE6" s="11">
        <v>70556</v>
      </c>
      <c r="BF6" s="11" t="s">
        <v>402</v>
      </c>
      <c r="BG6" s="11">
        <v>4</v>
      </c>
      <c r="BH6" s="11">
        <v>1323</v>
      </c>
      <c r="BI6" s="11">
        <v>764</v>
      </c>
      <c r="BJ6" s="11">
        <v>764</v>
      </c>
      <c r="BK6" s="11">
        <v>27</v>
      </c>
      <c r="BL6" s="11">
        <v>737</v>
      </c>
      <c r="BM6" s="11">
        <v>296</v>
      </c>
      <c r="BN6" s="11">
        <v>51</v>
      </c>
      <c r="BO6" s="11">
        <v>7</v>
      </c>
      <c r="BP6" s="11">
        <v>30</v>
      </c>
      <c r="BQ6" s="11">
        <v>43</v>
      </c>
      <c r="BR6" s="11">
        <v>0</v>
      </c>
      <c r="BS6" s="11">
        <v>243</v>
      </c>
      <c r="BT6" s="11">
        <v>0</v>
      </c>
      <c r="BU6" s="11">
        <v>1</v>
      </c>
      <c r="BV6" s="11">
        <v>1</v>
      </c>
      <c r="BW6" s="11">
        <v>5</v>
      </c>
      <c r="BX6" s="11">
        <v>13</v>
      </c>
      <c r="BY6" s="11">
        <v>0</v>
      </c>
      <c r="BZ6" s="11">
        <v>39</v>
      </c>
      <c r="CA6" s="11">
        <v>2</v>
      </c>
      <c r="CB6" s="11">
        <v>3</v>
      </c>
      <c r="CC6" s="11">
        <v>3</v>
      </c>
      <c r="CD6" s="11">
        <v>0</v>
      </c>
      <c r="CE6">
        <v>354</v>
      </c>
      <c r="CF6">
        <v>78</v>
      </c>
      <c r="CG6">
        <v>261</v>
      </c>
      <c r="CH6">
        <v>39</v>
      </c>
      <c r="CI6">
        <v>5</v>
      </c>
      <c r="CJ6" s="14">
        <v>0.57747543461829176</v>
      </c>
      <c r="CK6" s="14">
        <v>0.46335078534031415</v>
      </c>
      <c r="CL6" s="14">
        <v>0.10209424083769633</v>
      </c>
      <c r="CM6" s="14">
        <v>0.34162303664921467</v>
      </c>
      <c r="CN6" s="14">
        <v>5.1047120418848166E-2</v>
      </c>
      <c r="CO6" s="14">
        <v>6.5445026178010471E-3</v>
      </c>
      <c r="CP6" s="30">
        <v>2</v>
      </c>
      <c r="CQ6" s="15">
        <v>398</v>
      </c>
      <c r="CR6">
        <v>160</v>
      </c>
      <c r="CS6">
        <v>187</v>
      </c>
      <c r="CU6">
        <v>1</v>
      </c>
      <c r="CV6" s="14">
        <v>0.5759398496240602</v>
      </c>
      <c r="CW6" s="14">
        <v>0.51958224543080944</v>
      </c>
      <c r="CX6" s="14">
        <v>0.20887728459530025</v>
      </c>
      <c r="CY6" s="14">
        <v>0.24412532637075718</v>
      </c>
      <c r="CZ6" s="14">
        <v>0</v>
      </c>
      <c r="DA6" s="14">
        <v>1.3054830287206266E-3</v>
      </c>
      <c r="DB6" s="30">
        <v>3</v>
      </c>
      <c r="DC6" s="14" t="s">
        <v>470</v>
      </c>
      <c r="DD6" s="17" t="s">
        <v>434</v>
      </c>
      <c r="DE6" s="17" t="s">
        <v>435</v>
      </c>
      <c r="DF6" s="17" t="s">
        <v>450</v>
      </c>
      <c r="DG6" s="21">
        <v>552.53</v>
      </c>
      <c r="DH6" s="22">
        <v>1323</v>
      </c>
      <c r="DI6" s="16">
        <v>1</v>
      </c>
      <c r="DJ6" s="16">
        <v>764</v>
      </c>
      <c r="DK6" s="23">
        <v>0.57747543461829176</v>
      </c>
      <c r="DL6" s="16">
        <v>1</v>
      </c>
      <c r="DM6">
        <v>3</v>
      </c>
      <c r="DN6" s="24"/>
      <c r="DO6" s="25"/>
      <c r="DP6" s="25"/>
      <c r="DQ6" s="27"/>
      <c r="DR6" s="26"/>
    </row>
    <row r="7" spans="1:128" ht="14.25" customHeight="1">
      <c r="A7" s="2">
        <v>4965</v>
      </c>
      <c r="B7" s="3" t="s">
        <v>197</v>
      </c>
      <c r="C7" s="3" t="s">
        <v>203</v>
      </c>
      <c r="D7" s="4">
        <v>5</v>
      </c>
      <c r="E7" s="3" t="s">
        <v>214</v>
      </c>
      <c r="F7" s="3" t="s">
        <v>215</v>
      </c>
      <c r="G7" s="4" t="s">
        <v>216</v>
      </c>
      <c r="H7" s="4" t="b">
        <v>1</v>
      </c>
      <c r="I7" s="4" t="b">
        <v>1</v>
      </c>
      <c r="J7" s="5" t="s">
        <v>216</v>
      </c>
      <c r="K7" s="5" t="s">
        <v>203</v>
      </c>
      <c r="L7" s="5" t="s">
        <v>214</v>
      </c>
      <c r="M7" s="5" t="s">
        <v>215</v>
      </c>
      <c r="N7" s="2" t="s">
        <v>15</v>
      </c>
      <c r="O7" s="2" t="s">
        <v>401</v>
      </c>
      <c r="P7" s="2">
        <v>70556</v>
      </c>
      <c r="Q7" s="2" t="s">
        <v>402</v>
      </c>
      <c r="R7" s="2">
        <v>1083</v>
      </c>
      <c r="S7" s="2">
        <v>582</v>
      </c>
      <c r="T7" s="2">
        <v>582</v>
      </c>
      <c r="U7" s="2">
        <v>12</v>
      </c>
      <c r="V7" s="2">
        <v>570</v>
      </c>
      <c r="W7" s="2">
        <v>196</v>
      </c>
      <c r="X7" s="2">
        <v>83</v>
      </c>
      <c r="Y7" s="2">
        <v>1</v>
      </c>
      <c r="Z7" s="2">
        <v>8</v>
      </c>
      <c r="AA7" s="2">
        <v>101</v>
      </c>
      <c r="AB7" s="2">
        <v>34</v>
      </c>
      <c r="AC7" s="2">
        <v>23</v>
      </c>
      <c r="AD7" s="2">
        <v>1</v>
      </c>
      <c r="AE7" s="2">
        <v>60</v>
      </c>
      <c r="AF7" s="2">
        <v>11</v>
      </c>
      <c r="AG7" s="2">
        <v>34</v>
      </c>
      <c r="AH7" s="2">
        <v>1</v>
      </c>
      <c r="AI7" s="2">
        <v>0</v>
      </c>
      <c r="AJ7" s="2">
        <v>13</v>
      </c>
      <c r="AK7" s="2">
        <v>0</v>
      </c>
      <c r="AL7" s="2">
        <v>0</v>
      </c>
      <c r="AM7" s="2">
        <v>2</v>
      </c>
      <c r="AN7" s="2">
        <v>0</v>
      </c>
      <c r="AO7" s="2">
        <v>2</v>
      </c>
      <c r="AP7" s="2">
        <v>1083</v>
      </c>
      <c r="AQ7" s="2">
        <v>582</v>
      </c>
      <c r="AR7" s="2">
        <v>582</v>
      </c>
      <c r="AS7" s="2">
        <v>10</v>
      </c>
      <c r="AT7" s="2">
        <v>572</v>
      </c>
      <c r="AU7" s="2">
        <v>6</v>
      </c>
      <c r="AV7" s="2">
        <v>34</v>
      </c>
      <c r="AW7" s="2">
        <v>14</v>
      </c>
      <c r="AX7" s="2">
        <v>157</v>
      </c>
      <c r="AY7" s="2">
        <v>23</v>
      </c>
      <c r="AZ7" s="2">
        <v>265</v>
      </c>
      <c r="BA7" s="2">
        <v>31</v>
      </c>
      <c r="BB7" s="2">
        <v>42</v>
      </c>
      <c r="BC7" s="11" t="s">
        <v>15</v>
      </c>
      <c r="BD7" s="11" t="s">
        <v>425</v>
      </c>
      <c r="BE7" s="11">
        <v>70556</v>
      </c>
      <c r="BF7" s="11" t="s">
        <v>402</v>
      </c>
      <c r="BG7" s="11">
        <v>5</v>
      </c>
      <c r="BH7" s="11">
        <v>1079</v>
      </c>
      <c r="BI7" s="11">
        <v>571</v>
      </c>
      <c r="BJ7" s="11">
        <v>571</v>
      </c>
      <c r="BK7" s="11">
        <v>12</v>
      </c>
      <c r="BL7" s="11">
        <v>559</v>
      </c>
      <c r="BM7" s="11">
        <v>201</v>
      </c>
      <c r="BN7" s="11">
        <v>60</v>
      </c>
      <c r="BO7" s="11">
        <v>7</v>
      </c>
      <c r="BP7" s="11">
        <v>14</v>
      </c>
      <c r="BQ7" s="11">
        <v>32</v>
      </c>
      <c r="BR7" s="11">
        <v>0</v>
      </c>
      <c r="BS7" s="11">
        <v>189</v>
      </c>
      <c r="BT7" s="11">
        <v>2</v>
      </c>
      <c r="BU7" s="11">
        <v>0</v>
      </c>
      <c r="BV7" s="11">
        <v>2</v>
      </c>
      <c r="BW7" s="11">
        <v>2</v>
      </c>
      <c r="BX7" s="11">
        <v>14</v>
      </c>
      <c r="BY7" s="11">
        <v>0</v>
      </c>
      <c r="BZ7" s="11">
        <v>33</v>
      </c>
      <c r="CA7" s="11">
        <v>1</v>
      </c>
      <c r="CB7" s="11">
        <v>1</v>
      </c>
      <c r="CC7" s="11">
        <v>1</v>
      </c>
      <c r="CD7" s="11">
        <v>0</v>
      </c>
      <c r="CE7">
        <v>268</v>
      </c>
      <c r="CF7">
        <v>48</v>
      </c>
      <c r="CG7">
        <v>205</v>
      </c>
      <c r="CH7">
        <v>33</v>
      </c>
      <c r="CI7">
        <v>5</v>
      </c>
      <c r="CJ7" s="14">
        <v>0.52919369786839665</v>
      </c>
      <c r="CK7" s="14">
        <v>0.46935201401050786</v>
      </c>
      <c r="CL7" s="14">
        <v>8.4063047285464099E-2</v>
      </c>
      <c r="CM7" s="14">
        <v>0.35901926444833626</v>
      </c>
      <c r="CN7" s="14">
        <v>5.7793345008756568E-2</v>
      </c>
      <c r="CO7" s="14">
        <v>8.7565674255691769E-3</v>
      </c>
      <c r="CP7" s="30">
        <v>1</v>
      </c>
      <c r="CQ7" s="15">
        <v>287</v>
      </c>
      <c r="CR7">
        <v>102</v>
      </c>
      <c r="CS7">
        <v>177</v>
      </c>
      <c r="CU7">
        <v>4</v>
      </c>
      <c r="CV7" s="14">
        <v>0.53739612188365649</v>
      </c>
      <c r="CW7" s="14">
        <v>0.49312714776632305</v>
      </c>
      <c r="CX7" s="14">
        <v>0.17525773195876287</v>
      </c>
      <c r="CY7" s="14">
        <v>0.30412371134020616</v>
      </c>
      <c r="CZ7" s="14">
        <v>0</v>
      </c>
      <c r="DA7" s="14">
        <v>6.8728522336769758E-3</v>
      </c>
      <c r="DB7" s="30">
        <v>2</v>
      </c>
      <c r="DC7" s="14" t="s">
        <v>481</v>
      </c>
      <c r="DD7" s="17" t="s">
        <v>433</v>
      </c>
      <c r="DE7" s="17" t="s">
        <v>434</v>
      </c>
      <c r="DF7" s="17" t="s">
        <v>454</v>
      </c>
      <c r="DG7" s="21">
        <v>459.82000000000005</v>
      </c>
      <c r="DH7" s="22">
        <v>1079</v>
      </c>
      <c r="DI7" s="16">
        <v>1</v>
      </c>
      <c r="DJ7" s="16">
        <v>571</v>
      </c>
      <c r="DK7" s="23">
        <v>0.52919369786839665</v>
      </c>
      <c r="DL7" s="16">
        <v>1</v>
      </c>
      <c r="DM7">
        <v>2</v>
      </c>
      <c r="DN7" s="24"/>
      <c r="DO7" s="25"/>
      <c r="DP7" s="25"/>
      <c r="DQ7" s="27"/>
      <c r="DR7" s="26"/>
    </row>
    <row r="8" spans="1:128" ht="14.25" customHeight="1">
      <c r="A8" s="2">
        <v>4966</v>
      </c>
      <c r="B8" s="3" t="s">
        <v>197</v>
      </c>
      <c r="C8" s="3" t="s">
        <v>203</v>
      </c>
      <c r="D8" s="4">
        <v>6</v>
      </c>
      <c r="E8" s="3" t="s">
        <v>217</v>
      </c>
      <c r="F8" s="3" t="s">
        <v>215</v>
      </c>
      <c r="G8" s="4" t="s">
        <v>218</v>
      </c>
      <c r="H8" s="4" t="b">
        <v>1</v>
      </c>
      <c r="I8" s="4" t="b">
        <v>1</v>
      </c>
      <c r="J8" s="5" t="s">
        <v>218</v>
      </c>
      <c r="K8" s="5" t="s">
        <v>203</v>
      </c>
      <c r="L8" s="5" t="s">
        <v>217</v>
      </c>
      <c r="M8" s="5" t="s">
        <v>215</v>
      </c>
      <c r="N8" s="2" t="s">
        <v>15</v>
      </c>
      <c r="O8" s="2" t="s">
        <v>401</v>
      </c>
      <c r="P8" s="2">
        <v>70556</v>
      </c>
      <c r="Q8" s="2" t="s">
        <v>402</v>
      </c>
      <c r="R8" s="2">
        <v>1102</v>
      </c>
      <c r="S8" s="2">
        <v>579</v>
      </c>
      <c r="T8" s="2">
        <v>579</v>
      </c>
      <c r="U8" s="2">
        <v>15</v>
      </c>
      <c r="V8" s="2">
        <v>564</v>
      </c>
      <c r="W8" s="2">
        <v>163</v>
      </c>
      <c r="X8" s="2">
        <v>70</v>
      </c>
      <c r="Y8" s="2">
        <v>1</v>
      </c>
      <c r="Z8" s="2">
        <v>12</v>
      </c>
      <c r="AA8" s="2">
        <v>111</v>
      </c>
      <c r="AB8" s="2">
        <v>41</v>
      </c>
      <c r="AC8" s="2">
        <v>28</v>
      </c>
      <c r="AD8" s="2">
        <v>2</v>
      </c>
      <c r="AE8" s="2">
        <v>51</v>
      </c>
      <c r="AF8" s="2">
        <v>34</v>
      </c>
      <c r="AG8" s="2">
        <v>28</v>
      </c>
      <c r="AH8" s="2">
        <v>0</v>
      </c>
      <c r="AI8" s="2">
        <v>0</v>
      </c>
      <c r="AJ8" s="2">
        <v>16</v>
      </c>
      <c r="AK8" s="2">
        <v>0</v>
      </c>
      <c r="AL8" s="2">
        <v>0</v>
      </c>
      <c r="AM8" s="2">
        <v>5</v>
      </c>
      <c r="AN8" s="2">
        <v>1</v>
      </c>
      <c r="AO8" s="2">
        <v>1</v>
      </c>
      <c r="AP8" s="2">
        <v>1102</v>
      </c>
      <c r="AQ8" s="2">
        <v>579</v>
      </c>
      <c r="AR8" s="2">
        <v>579</v>
      </c>
      <c r="AS8" s="2">
        <v>7</v>
      </c>
      <c r="AT8" s="2">
        <v>572</v>
      </c>
      <c r="AU8" s="2">
        <v>10</v>
      </c>
      <c r="AV8" s="2">
        <v>40</v>
      </c>
      <c r="AW8" s="2">
        <v>35</v>
      </c>
      <c r="AX8" s="2">
        <v>147</v>
      </c>
      <c r="AY8" s="2">
        <v>29</v>
      </c>
      <c r="AZ8" s="2">
        <v>237</v>
      </c>
      <c r="BA8" s="2">
        <v>44</v>
      </c>
      <c r="BB8" s="2">
        <v>30</v>
      </c>
      <c r="BC8" s="11" t="s">
        <v>15</v>
      </c>
      <c r="BD8" s="11" t="s">
        <v>425</v>
      </c>
      <c r="BE8" s="11">
        <v>70556</v>
      </c>
      <c r="BF8" s="11" t="s">
        <v>402</v>
      </c>
      <c r="BG8" s="11">
        <v>6</v>
      </c>
      <c r="BH8" s="11">
        <v>1088</v>
      </c>
      <c r="BI8" s="11">
        <v>551</v>
      </c>
      <c r="BJ8" s="11">
        <v>551</v>
      </c>
      <c r="BK8" s="11">
        <v>8</v>
      </c>
      <c r="BL8" s="11">
        <v>543</v>
      </c>
      <c r="BM8" s="11">
        <v>171</v>
      </c>
      <c r="BN8" s="11">
        <v>38</v>
      </c>
      <c r="BO8" s="11">
        <v>6</v>
      </c>
      <c r="BP8" s="11">
        <v>13</v>
      </c>
      <c r="BQ8" s="11">
        <v>40</v>
      </c>
      <c r="BR8" s="11">
        <v>0</v>
      </c>
      <c r="BS8" s="11">
        <v>204</v>
      </c>
      <c r="BT8" s="11">
        <v>0</v>
      </c>
      <c r="BU8" s="11">
        <v>0</v>
      </c>
      <c r="BV8" s="11">
        <v>1</v>
      </c>
      <c r="BW8" s="11">
        <v>6</v>
      </c>
      <c r="BX8" s="11">
        <v>16</v>
      </c>
      <c r="BY8" s="11">
        <v>0</v>
      </c>
      <c r="BZ8" s="11">
        <v>34</v>
      </c>
      <c r="CA8" s="11">
        <v>3</v>
      </c>
      <c r="CB8" s="11">
        <v>3</v>
      </c>
      <c r="CC8" s="11">
        <v>6</v>
      </c>
      <c r="CD8" s="11">
        <v>2</v>
      </c>
      <c r="CE8">
        <v>215</v>
      </c>
      <c r="CF8">
        <v>59</v>
      </c>
      <c r="CG8">
        <v>229</v>
      </c>
      <c r="CH8">
        <v>34</v>
      </c>
      <c r="CI8">
        <v>6</v>
      </c>
      <c r="CJ8" s="14">
        <v>0.5064338235294118</v>
      </c>
      <c r="CK8" s="14">
        <v>0.39019963702359345</v>
      </c>
      <c r="CL8" s="14">
        <v>0.10707803992740472</v>
      </c>
      <c r="CM8" s="14">
        <v>0.41560798548094374</v>
      </c>
      <c r="CN8" s="14">
        <v>6.1705989110707807E-2</v>
      </c>
      <c r="CO8" s="14">
        <v>1.0889292196007259E-2</v>
      </c>
      <c r="CP8" s="30">
        <v>1</v>
      </c>
      <c r="CQ8" s="15">
        <v>245</v>
      </c>
      <c r="CR8">
        <v>131</v>
      </c>
      <c r="CS8">
        <v>183</v>
      </c>
      <c r="CU8">
        <v>5</v>
      </c>
      <c r="CV8" s="14">
        <v>0.52540834845735029</v>
      </c>
      <c r="CW8" s="14">
        <v>0.42314335060449049</v>
      </c>
      <c r="CX8" s="14">
        <v>0.22625215889464595</v>
      </c>
      <c r="CY8" s="14">
        <v>0.31606217616580312</v>
      </c>
      <c r="CZ8" s="14">
        <v>0</v>
      </c>
      <c r="DA8" s="14">
        <v>8.6355785837651123E-3</v>
      </c>
      <c r="DB8" s="30">
        <v>1</v>
      </c>
      <c r="DC8" s="14" t="s">
        <v>471</v>
      </c>
      <c r="DD8" s="17" t="s">
        <v>433</v>
      </c>
      <c r="DE8" s="17" t="s">
        <v>433</v>
      </c>
      <c r="DF8" s="17" t="s">
        <v>448</v>
      </c>
      <c r="DG8" s="21">
        <v>497.43</v>
      </c>
      <c r="DH8" s="22">
        <v>1088</v>
      </c>
      <c r="DI8" s="16">
        <v>1</v>
      </c>
      <c r="DJ8" s="16">
        <v>551</v>
      </c>
      <c r="DK8" s="23">
        <v>0.5064338235294118</v>
      </c>
      <c r="DL8" s="16">
        <v>1</v>
      </c>
      <c r="DM8">
        <v>1</v>
      </c>
      <c r="DN8" s="24"/>
      <c r="DO8" s="25"/>
      <c r="DP8" s="25"/>
      <c r="DQ8" s="27"/>
      <c r="DR8" s="26"/>
    </row>
    <row r="9" spans="1:128" ht="14.25" customHeight="1">
      <c r="A9" s="2">
        <v>4967</v>
      </c>
      <c r="B9" s="3" t="s">
        <v>197</v>
      </c>
      <c r="C9" s="3" t="s">
        <v>203</v>
      </c>
      <c r="D9" s="4">
        <v>7</v>
      </c>
      <c r="E9" s="3" t="s">
        <v>219</v>
      </c>
      <c r="F9" s="3" t="s">
        <v>220</v>
      </c>
      <c r="G9" s="4" t="s">
        <v>221</v>
      </c>
      <c r="H9" s="4" t="b">
        <v>1</v>
      </c>
      <c r="I9" s="4" t="b">
        <v>1</v>
      </c>
      <c r="J9" s="5" t="s">
        <v>221</v>
      </c>
      <c r="K9" s="5" t="s">
        <v>203</v>
      </c>
      <c r="L9" s="5" t="s">
        <v>219</v>
      </c>
      <c r="M9" s="5" t="s">
        <v>220</v>
      </c>
      <c r="N9" s="2" t="s">
        <v>15</v>
      </c>
      <c r="O9" s="2" t="s">
        <v>401</v>
      </c>
      <c r="P9" s="2">
        <v>70556</v>
      </c>
      <c r="Q9" s="2" t="s">
        <v>402</v>
      </c>
      <c r="R9" s="2">
        <v>1075</v>
      </c>
      <c r="S9" s="2">
        <v>597</v>
      </c>
      <c r="T9" s="2">
        <v>597</v>
      </c>
      <c r="U9" s="2">
        <v>17</v>
      </c>
      <c r="V9" s="2">
        <v>580</v>
      </c>
      <c r="W9" s="2">
        <v>175</v>
      </c>
      <c r="X9" s="2">
        <v>75</v>
      </c>
      <c r="Y9" s="2">
        <v>1</v>
      </c>
      <c r="Z9" s="2">
        <v>19</v>
      </c>
      <c r="AA9" s="2">
        <v>156</v>
      </c>
      <c r="AB9" s="2">
        <v>27</v>
      </c>
      <c r="AC9" s="2">
        <v>12</v>
      </c>
      <c r="AD9" s="2">
        <v>1</v>
      </c>
      <c r="AE9" s="2">
        <v>52</v>
      </c>
      <c r="AF9" s="2">
        <v>17</v>
      </c>
      <c r="AG9" s="2">
        <v>17</v>
      </c>
      <c r="AH9" s="2">
        <v>1</v>
      </c>
      <c r="AI9" s="2">
        <v>0</v>
      </c>
      <c r="AJ9" s="2">
        <v>18</v>
      </c>
      <c r="AK9" s="2">
        <v>0</v>
      </c>
      <c r="AL9" s="2">
        <v>0</v>
      </c>
      <c r="AM9" s="2">
        <v>5</v>
      </c>
      <c r="AN9" s="2">
        <v>0</v>
      </c>
      <c r="AO9" s="2">
        <v>4</v>
      </c>
      <c r="AP9" s="2">
        <v>1075</v>
      </c>
      <c r="AQ9" s="2">
        <v>597</v>
      </c>
      <c r="AR9" s="2">
        <v>597</v>
      </c>
      <c r="AS9" s="2">
        <v>16</v>
      </c>
      <c r="AT9" s="2">
        <v>581</v>
      </c>
      <c r="AU9" s="2">
        <v>7</v>
      </c>
      <c r="AV9" s="2">
        <v>27</v>
      </c>
      <c r="AW9" s="2">
        <v>21</v>
      </c>
      <c r="AX9" s="2">
        <v>179</v>
      </c>
      <c r="AY9" s="2">
        <v>31</v>
      </c>
      <c r="AZ9" s="2">
        <v>248</v>
      </c>
      <c r="BA9" s="2">
        <v>40</v>
      </c>
      <c r="BB9" s="2">
        <v>28</v>
      </c>
      <c r="BC9" s="11" t="s">
        <v>15</v>
      </c>
      <c r="BD9" s="11" t="s">
        <v>425</v>
      </c>
      <c r="BE9" s="11">
        <v>70556</v>
      </c>
      <c r="BF9" s="11" t="s">
        <v>402</v>
      </c>
      <c r="BG9" s="11">
        <v>7</v>
      </c>
      <c r="BH9" s="11">
        <v>1041</v>
      </c>
      <c r="BI9" s="11">
        <v>552</v>
      </c>
      <c r="BJ9" s="11">
        <v>552</v>
      </c>
      <c r="BK9" s="11">
        <v>17</v>
      </c>
      <c r="BL9" s="11">
        <v>535</v>
      </c>
      <c r="BM9" s="11">
        <v>185</v>
      </c>
      <c r="BN9" s="11">
        <v>18</v>
      </c>
      <c r="BO9" s="11">
        <v>9</v>
      </c>
      <c r="BP9" s="11">
        <v>16</v>
      </c>
      <c r="BQ9" s="11">
        <v>32</v>
      </c>
      <c r="BR9" s="11">
        <v>2</v>
      </c>
      <c r="BS9" s="11">
        <v>223</v>
      </c>
      <c r="BT9" s="11">
        <v>3</v>
      </c>
      <c r="BU9" s="11">
        <v>0</v>
      </c>
      <c r="BV9" s="11">
        <v>1</v>
      </c>
      <c r="BW9" s="11">
        <v>0</v>
      </c>
      <c r="BX9" s="11">
        <v>12</v>
      </c>
      <c r="BY9" s="11">
        <v>0</v>
      </c>
      <c r="BZ9" s="11">
        <v>26</v>
      </c>
      <c r="CA9" s="11">
        <v>3</v>
      </c>
      <c r="CB9" s="11">
        <v>1</v>
      </c>
      <c r="CC9" s="11">
        <v>3</v>
      </c>
      <c r="CD9" s="11">
        <v>1</v>
      </c>
      <c r="CE9">
        <v>212</v>
      </c>
      <c r="CF9">
        <v>48</v>
      </c>
      <c r="CG9">
        <v>241</v>
      </c>
      <c r="CH9">
        <v>26</v>
      </c>
      <c r="CI9">
        <v>8</v>
      </c>
      <c r="CJ9" s="14">
        <v>0.53025936599423629</v>
      </c>
      <c r="CK9" s="14">
        <v>0.38405797101449274</v>
      </c>
      <c r="CL9" s="14">
        <v>8.6956521739130432E-2</v>
      </c>
      <c r="CM9" s="14">
        <v>0.43659420289855072</v>
      </c>
      <c r="CN9" s="14">
        <v>4.710144927536232E-2</v>
      </c>
      <c r="CO9" s="14">
        <v>1.4492753623188406E-2</v>
      </c>
      <c r="CP9" s="30">
        <v>1</v>
      </c>
      <c r="CQ9" s="15">
        <v>269</v>
      </c>
      <c r="CR9">
        <v>73</v>
      </c>
      <c r="CS9">
        <v>232</v>
      </c>
      <c r="CU9">
        <v>6</v>
      </c>
      <c r="CV9" s="14">
        <v>0.55534883720930228</v>
      </c>
      <c r="CW9" s="14">
        <v>0.45058626465661644</v>
      </c>
      <c r="CX9" s="14">
        <v>0.12227805695142378</v>
      </c>
      <c r="CY9" s="14">
        <v>0.38860971524288107</v>
      </c>
      <c r="CZ9" s="14">
        <v>0</v>
      </c>
      <c r="DA9" s="14">
        <v>1.0050251256281407E-2</v>
      </c>
      <c r="DB9" s="30">
        <v>1</v>
      </c>
      <c r="DC9" s="14" t="s">
        <v>471</v>
      </c>
      <c r="DD9" s="17" t="s">
        <v>433</v>
      </c>
      <c r="DE9" s="17" t="s">
        <v>433</v>
      </c>
      <c r="DF9" s="17" t="s">
        <v>448</v>
      </c>
      <c r="DG9" s="21">
        <v>468.79</v>
      </c>
      <c r="DH9" s="22">
        <v>1041</v>
      </c>
      <c r="DI9" s="16">
        <v>1</v>
      </c>
      <c r="DJ9" s="16">
        <v>552</v>
      </c>
      <c r="DK9" s="23">
        <v>0.53025936599423629</v>
      </c>
      <c r="DL9" s="16">
        <v>1</v>
      </c>
      <c r="DM9">
        <v>1</v>
      </c>
      <c r="DN9" s="24"/>
      <c r="DO9" s="25"/>
      <c r="DP9" s="25"/>
      <c r="DQ9" s="27"/>
      <c r="DR9" s="26"/>
    </row>
    <row r="10" spans="1:128" ht="14.25" customHeight="1">
      <c r="A10" s="2">
        <v>4968</v>
      </c>
      <c r="B10" s="3" t="s">
        <v>197</v>
      </c>
      <c r="C10" s="3" t="s">
        <v>203</v>
      </c>
      <c r="D10" s="4">
        <v>8</v>
      </c>
      <c r="E10" s="3" t="s">
        <v>222</v>
      </c>
      <c r="F10" s="3" t="s">
        <v>223</v>
      </c>
      <c r="G10" s="4" t="s">
        <v>224</v>
      </c>
      <c r="H10" s="4" t="b">
        <v>1</v>
      </c>
      <c r="I10" s="4" t="b">
        <v>1</v>
      </c>
      <c r="J10" s="28" t="s">
        <v>224</v>
      </c>
      <c r="K10" s="28" t="s">
        <v>203</v>
      </c>
      <c r="L10" s="28" t="s">
        <v>222</v>
      </c>
      <c r="M10" s="28" t="s">
        <v>223</v>
      </c>
      <c r="N10" s="2" t="s">
        <v>15</v>
      </c>
      <c r="O10" s="2" t="s">
        <v>401</v>
      </c>
      <c r="P10" s="2">
        <v>70556</v>
      </c>
      <c r="Q10" s="2" t="s">
        <v>402</v>
      </c>
      <c r="R10" s="2">
        <v>950</v>
      </c>
      <c r="S10" s="2">
        <v>534</v>
      </c>
      <c r="T10" s="2">
        <v>534</v>
      </c>
      <c r="U10" s="2">
        <v>8</v>
      </c>
      <c r="V10" s="2">
        <v>526</v>
      </c>
      <c r="W10" s="2">
        <v>175</v>
      </c>
      <c r="X10" s="2">
        <v>64</v>
      </c>
      <c r="Y10" s="2">
        <v>0</v>
      </c>
      <c r="Z10" s="2">
        <v>11</v>
      </c>
      <c r="AA10" s="2">
        <v>118</v>
      </c>
      <c r="AB10" s="2">
        <v>19</v>
      </c>
      <c r="AC10" s="2">
        <v>17</v>
      </c>
      <c r="AD10" s="2">
        <v>3</v>
      </c>
      <c r="AE10" s="2">
        <v>42</v>
      </c>
      <c r="AF10" s="2">
        <v>25</v>
      </c>
      <c r="AG10" s="2">
        <v>30</v>
      </c>
      <c r="AH10" s="2">
        <v>0</v>
      </c>
      <c r="AI10" s="2">
        <v>0</v>
      </c>
      <c r="AJ10" s="2">
        <v>15</v>
      </c>
      <c r="AK10" s="2">
        <v>0</v>
      </c>
      <c r="AL10" s="2">
        <v>0</v>
      </c>
      <c r="AM10" s="2">
        <v>2</v>
      </c>
      <c r="AN10" s="2">
        <v>3</v>
      </c>
      <c r="AO10" s="2">
        <v>2</v>
      </c>
      <c r="AP10" s="2">
        <v>950</v>
      </c>
      <c r="AQ10" s="2">
        <v>534</v>
      </c>
      <c r="AR10" s="2">
        <v>534</v>
      </c>
      <c r="AS10" s="2">
        <v>6</v>
      </c>
      <c r="AT10" s="2">
        <v>528</v>
      </c>
      <c r="AU10" s="2">
        <v>0</v>
      </c>
      <c r="AV10" s="2">
        <v>22</v>
      </c>
      <c r="AW10" s="2">
        <v>20</v>
      </c>
      <c r="AX10" s="2">
        <v>147</v>
      </c>
      <c r="AY10" s="2">
        <v>34</v>
      </c>
      <c r="AZ10" s="2">
        <v>244</v>
      </c>
      <c r="BA10" s="2">
        <v>30</v>
      </c>
      <c r="BB10" s="2">
        <v>31</v>
      </c>
      <c r="BC10" s="11" t="s">
        <v>15</v>
      </c>
      <c r="BD10" s="11" t="s">
        <v>425</v>
      </c>
      <c r="BE10" s="11">
        <v>70556</v>
      </c>
      <c r="BF10" s="11" t="s">
        <v>402</v>
      </c>
      <c r="BG10" s="11">
        <v>8</v>
      </c>
      <c r="BH10" s="11">
        <v>926</v>
      </c>
      <c r="BI10" s="11">
        <v>514</v>
      </c>
      <c r="BJ10" s="11">
        <v>514</v>
      </c>
      <c r="BK10" s="11">
        <v>4</v>
      </c>
      <c r="BL10" s="11">
        <v>510</v>
      </c>
      <c r="BM10" s="11">
        <v>189</v>
      </c>
      <c r="BN10" s="11">
        <v>31</v>
      </c>
      <c r="BO10" s="11">
        <v>3</v>
      </c>
      <c r="BP10" s="11">
        <v>15</v>
      </c>
      <c r="BQ10" s="11">
        <v>36</v>
      </c>
      <c r="BR10" s="11">
        <v>2</v>
      </c>
      <c r="BS10" s="11">
        <v>180</v>
      </c>
      <c r="BT10" s="11">
        <v>1</v>
      </c>
      <c r="BU10" s="11">
        <v>0</v>
      </c>
      <c r="BV10" s="11">
        <v>1</v>
      </c>
      <c r="BW10" s="11">
        <v>7</v>
      </c>
      <c r="BX10" s="11">
        <v>10</v>
      </c>
      <c r="BY10" s="11">
        <v>1</v>
      </c>
      <c r="BZ10" s="11">
        <v>33</v>
      </c>
      <c r="CA10" s="11">
        <v>0</v>
      </c>
      <c r="CB10" s="11">
        <v>1</v>
      </c>
      <c r="CC10" s="11">
        <v>0</v>
      </c>
      <c r="CD10" s="11">
        <v>0</v>
      </c>
      <c r="CE10">
        <v>223</v>
      </c>
      <c r="CF10">
        <v>58</v>
      </c>
      <c r="CG10">
        <v>190</v>
      </c>
      <c r="CH10">
        <v>33</v>
      </c>
      <c r="CI10">
        <v>6</v>
      </c>
      <c r="CJ10" s="14">
        <v>0.55507559395248385</v>
      </c>
      <c r="CK10" s="14">
        <v>0.43385214007782102</v>
      </c>
      <c r="CL10" s="14">
        <v>0.11284046692607004</v>
      </c>
      <c r="CM10" s="14">
        <v>0.36964980544747084</v>
      </c>
      <c r="CN10" s="14">
        <v>6.4202334630350189E-2</v>
      </c>
      <c r="CO10" s="14">
        <v>1.1673151750972763E-2</v>
      </c>
      <c r="CP10" s="30">
        <v>1</v>
      </c>
      <c r="CQ10" s="15">
        <v>250</v>
      </c>
      <c r="CR10">
        <v>91</v>
      </c>
      <c r="CS10">
        <v>177</v>
      </c>
      <c r="CU10">
        <v>8</v>
      </c>
      <c r="CV10" s="14">
        <v>0.56210526315789477</v>
      </c>
      <c r="CW10" s="14">
        <v>0.46816479400749061</v>
      </c>
      <c r="CX10" s="14">
        <v>0.17041198501872659</v>
      </c>
      <c r="CY10" s="14">
        <v>0.33146067415730335</v>
      </c>
      <c r="CZ10" s="14">
        <v>0</v>
      </c>
      <c r="DA10" s="14">
        <v>1.4981273408239701E-2</v>
      </c>
      <c r="DB10" s="30">
        <v>1</v>
      </c>
      <c r="DC10" s="14" t="s">
        <v>471</v>
      </c>
      <c r="DD10" s="17" t="s">
        <v>433</v>
      </c>
      <c r="DE10" s="17" t="s">
        <v>433</v>
      </c>
      <c r="DF10" s="17" t="s">
        <v>448</v>
      </c>
      <c r="DG10" s="21">
        <v>408.97</v>
      </c>
      <c r="DH10" s="22">
        <v>926</v>
      </c>
      <c r="DI10" s="16">
        <v>1</v>
      </c>
      <c r="DJ10" s="16">
        <v>514</v>
      </c>
      <c r="DK10" s="23">
        <v>0.55507559395248385</v>
      </c>
      <c r="DL10" s="16">
        <v>1</v>
      </c>
      <c r="DM10">
        <v>1</v>
      </c>
      <c r="DN10" s="24"/>
      <c r="DO10" s="25"/>
      <c r="DP10" s="25"/>
      <c r="DQ10" s="27"/>
      <c r="DR10" s="26"/>
    </row>
    <row r="11" spans="1:128" ht="14.25" customHeight="1">
      <c r="A11" s="2">
        <v>4969</v>
      </c>
      <c r="B11" s="3" t="s">
        <v>197</v>
      </c>
      <c r="C11" s="3" t="s">
        <v>203</v>
      </c>
      <c r="D11" s="4">
        <v>9</v>
      </c>
      <c r="E11" s="3" t="s">
        <v>225</v>
      </c>
      <c r="F11" s="3" t="s">
        <v>226</v>
      </c>
      <c r="G11" s="4" t="s">
        <v>227</v>
      </c>
      <c r="H11" s="4" t="b">
        <v>1</v>
      </c>
      <c r="I11" s="4" t="b">
        <v>1</v>
      </c>
      <c r="J11" s="5" t="s">
        <v>227</v>
      </c>
      <c r="K11" s="5" t="s">
        <v>203</v>
      </c>
      <c r="L11" s="5" t="s">
        <v>225</v>
      </c>
      <c r="M11" s="5" t="s">
        <v>226</v>
      </c>
      <c r="N11" s="2" t="s">
        <v>15</v>
      </c>
      <c r="O11" s="2" t="s">
        <v>401</v>
      </c>
      <c r="P11" s="2">
        <v>70556</v>
      </c>
      <c r="Q11" s="2" t="s">
        <v>402</v>
      </c>
      <c r="R11" s="2">
        <v>758</v>
      </c>
      <c r="S11" s="2">
        <v>473</v>
      </c>
      <c r="T11" s="2">
        <v>473</v>
      </c>
      <c r="U11" s="2">
        <v>9</v>
      </c>
      <c r="V11" s="2">
        <v>464</v>
      </c>
      <c r="W11" s="2">
        <v>162</v>
      </c>
      <c r="X11" s="2">
        <v>59</v>
      </c>
      <c r="Y11" s="2">
        <v>0</v>
      </c>
      <c r="Z11" s="2">
        <v>3</v>
      </c>
      <c r="AA11" s="2">
        <v>104</v>
      </c>
      <c r="AB11" s="2">
        <v>21</v>
      </c>
      <c r="AC11" s="2">
        <v>21</v>
      </c>
      <c r="AD11" s="2">
        <v>1</v>
      </c>
      <c r="AE11" s="2">
        <v>34</v>
      </c>
      <c r="AF11" s="2">
        <v>15</v>
      </c>
      <c r="AG11" s="2">
        <v>26</v>
      </c>
      <c r="AH11" s="2">
        <v>1</v>
      </c>
      <c r="AI11" s="2">
        <v>0</v>
      </c>
      <c r="AJ11" s="2">
        <v>14</v>
      </c>
      <c r="AK11" s="2">
        <v>0</v>
      </c>
      <c r="AL11" s="2">
        <v>0</v>
      </c>
      <c r="AM11" s="2">
        <v>3</v>
      </c>
      <c r="AN11" s="2">
        <v>0</v>
      </c>
      <c r="AO11" s="2">
        <v>0</v>
      </c>
      <c r="AP11" s="2">
        <v>758</v>
      </c>
      <c r="AQ11" s="2">
        <v>473</v>
      </c>
      <c r="AR11" s="2">
        <v>473</v>
      </c>
      <c r="AS11" s="2">
        <v>8</v>
      </c>
      <c r="AT11" s="2">
        <v>465</v>
      </c>
      <c r="AU11" s="2">
        <v>3</v>
      </c>
      <c r="AV11" s="2">
        <v>18</v>
      </c>
      <c r="AW11" s="2">
        <v>5</v>
      </c>
      <c r="AX11" s="2">
        <v>141</v>
      </c>
      <c r="AY11" s="2">
        <v>22</v>
      </c>
      <c r="AZ11" s="2">
        <v>226</v>
      </c>
      <c r="BA11" s="2">
        <v>24</v>
      </c>
      <c r="BB11" s="2">
        <v>26</v>
      </c>
      <c r="BC11" s="11" t="s">
        <v>15</v>
      </c>
      <c r="BD11" s="11" t="s">
        <v>425</v>
      </c>
      <c r="BE11" s="11">
        <v>70556</v>
      </c>
      <c r="BF11" s="11" t="s">
        <v>402</v>
      </c>
      <c r="BG11" s="11">
        <v>9</v>
      </c>
      <c r="BH11" s="11">
        <v>755</v>
      </c>
      <c r="BI11" s="11">
        <v>454</v>
      </c>
      <c r="BJ11" s="11">
        <v>454</v>
      </c>
      <c r="BK11" s="11">
        <v>8</v>
      </c>
      <c r="BL11" s="11">
        <v>446</v>
      </c>
      <c r="BM11" s="11">
        <v>165</v>
      </c>
      <c r="BN11" s="11">
        <v>38</v>
      </c>
      <c r="BO11" s="11">
        <v>3</v>
      </c>
      <c r="BP11" s="11">
        <v>10</v>
      </c>
      <c r="BQ11" s="11">
        <v>23</v>
      </c>
      <c r="BR11" s="11">
        <v>0</v>
      </c>
      <c r="BS11" s="11">
        <v>163</v>
      </c>
      <c r="BT11" s="11">
        <v>0</v>
      </c>
      <c r="BU11" s="11">
        <v>0</v>
      </c>
      <c r="BV11" s="11">
        <v>2</v>
      </c>
      <c r="BW11" s="11">
        <v>2</v>
      </c>
      <c r="BX11" s="11">
        <v>11</v>
      </c>
      <c r="BY11" s="11">
        <v>0</v>
      </c>
      <c r="BZ11" s="11">
        <v>20</v>
      </c>
      <c r="CA11" s="11">
        <v>2</v>
      </c>
      <c r="CB11" s="11">
        <v>6</v>
      </c>
      <c r="CC11" s="11">
        <v>1</v>
      </c>
      <c r="CD11" s="11">
        <v>0</v>
      </c>
      <c r="CE11">
        <v>206</v>
      </c>
      <c r="CF11">
        <v>35</v>
      </c>
      <c r="CG11">
        <v>177</v>
      </c>
      <c r="CH11">
        <v>20</v>
      </c>
      <c r="CI11">
        <v>8</v>
      </c>
      <c r="CJ11" s="14">
        <v>0.60132450331125831</v>
      </c>
      <c r="CK11" s="14">
        <v>0.45374449339207046</v>
      </c>
      <c r="CL11" s="14">
        <v>7.7092511013215861E-2</v>
      </c>
      <c r="CM11" s="14">
        <v>0.38986784140969161</v>
      </c>
      <c r="CN11" s="14">
        <v>4.405286343612335E-2</v>
      </c>
      <c r="CO11" s="14">
        <v>1.7621145374449341E-2</v>
      </c>
      <c r="CP11" s="30">
        <v>1</v>
      </c>
      <c r="CQ11" s="15">
        <v>224</v>
      </c>
      <c r="CR11">
        <v>83</v>
      </c>
      <c r="CS11">
        <v>156</v>
      </c>
      <c r="CU11">
        <v>1</v>
      </c>
      <c r="CV11" s="14">
        <v>0.62401055408970973</v>
      </c>
      <c r="CW11" s="14">
        <v>0.47357293868921774</v>
      </c>
      <c r="CX11" s="14">
        <v>0.17547568710359407</v>
      </c>
      <c r="CY11" s="14">
        <v>0.32980972515856238</v>
      </c>
      <c r="CZ11" s="14">
        <v>0</v>
      </c>
      <c r="DA11" s="14">
        <v>2.1141649048625794E-3</v>
      </c>
      <c r="DB11" s="30">
        <v>1</v>
      </c>
      <c r="DC11" s="14" t="s">
        <v>471</v>
      </c>
      <c r="DD11" s="17" t="s">
        <v>433</v>
      </c>
      <c r="DE11" s="17" t="s">
        <v>433</v>
      </c>
      <c r="DF11" s="17" t="s">
        <v>448</v>
      </c>
      <c r="DG11" s="21">
        <v>328.73</v>
      </c>
      <c r="DH11" s="16">
        <v>755</v>
      </c>
      <c r="DI11" s="16">
        <v>0</v>
      </c>
      <c r="DJ11" s="16">
        <v>454</v>
      </c>
      <c r="DK11" s="23">
        <v>0.60132450331125831</v>
      </c>
      <c r="DL11" s="16">
        <v>1</v>
      </c>
      <c r="DM11">
        <v>1</v>
      </c>
      <c r="DN11" s="25"/>
      <c r="DO11" s="25"/>
      <c r="DP11" s="25"/>
      <c r="DQ11" s="26"/>
      <c r="DR11" s="26"/>
    </row>
    <row r="12" spans="1:128" ht="14.25" customHeight="1">
      <c r="A12" s="2">
        <v>4970</v>
      </c>
      <c r="B12" s="3" t="s">
        <v>197</v>
      </c>
      <c r="C12" s="3" t="s">
        <v>203</v>
      </c>
      <c r="D12" s="4">
        <v>10</v>
      </c>
      <c r="E12" s="3" t="s">
        <v>228</v>
      </c>
      <c r="F12" s="3" t="s">
        <v>229</v>
      </c>
      <c r="G12" s="4" t="s">
        <v>230</v>
      </c>
      <c r="H12" s="4" t="b">
        <v>1</v>
      </c>
      <c r="I12" s="4" t="b">
        <v>1</v>
      </c>
      <c r="J12" s="5" t="s">
        <v>230</v>
      </c>
      <c r="K12" s="5" t="s">
        <v>203</v>
      </c>
      <c r="L12" s="5" t="s">
        <v>228</v>
      </c>
      <c r="M12" s="5" t="s">
        <v>229</v>
      </c>
      <c r="N12" s="2" t="s">
        <v>15</v>
      </c>
      <c r="O12" s="2" t="s">
        <v>401</v>
      </c>
      <c r="P12" s="2">
        <v>70556</v>
      </c>
      <c r="Q12" s="2" t="s">
        <v>402</v>
      </c>
      <c r="R12" s="2">
        <v>1296</v>
      </c>
      <c r="S12" s="2">
        <v>718</v>
      </c>
      <c r="T12" s="2">
        <v>718</v>
      </c>
      <c r="U12" s="2">
        <v>15</v>
      </c>
      <c r="V12" s="2">
        <v>703</v>
      </c>
      <c r="W12" s="2">
        <v>236</v>
      </c>
      <c r="X12" s="2">
        <v>98</v>
      </c>
      <c r="Y12" s="2">
        <v>1</v>
      </c>
      <c r="Z12" s="2">
        <v>10</v>
      </c>
      <c r="AA12" s="2">
        <v>145</v>
      </c>
      <c r="AB12" s="2">
        <v>29</v>
      </c>
      <c r="AC12" s="2">
        <v>39</v>
      </c>
      <c r="AD12" s="2">
        <v>2</v>
      </c>
      <c r="AE12" s="2">
        <v>43</v>
      </c>
      <c r="AF12" s="2">
        <v>35</v>
      </c>
      <c r="AG12" s="2">
        <v>34</v>
      </c>
      <c r="AH12" s="2">
        <v>2</v>
      </c>
      <c r="AI12" s="2">
        <v>0</v>
      </c>
      <c r="AJ12" s="2">
        <v>21</v>
      </c>
      <c r="AK12" s="2">
        <v>0</v>
      </c>
      <c r="AL12" s="2">
        <v>0</v>
      </c>
      <c r="AM12" s="2">
        <v>5</v>
      </c>
      <c r="AN12" s="2">
        <v>0</v>
      </c>
      <c r="AO12" s="2">
        <v>3</v>
      </c>
      <c r="AP12" s="2">
        <v>1296</v>
      </c>
      <c r="AQ12" s="2">
        <v>718</v>
      </c>
      <c r="AR12" s="2">
        <v>717</v>
      </c>
      <c r="AS12" s="2">
        <v>7</v>
      </c>
      <c r="AT12" s="2">
        <v>710</v>
      </c>
      <c r="AU12" s="2">
        <v>4</v>
      </c>
      <c r="AV12" s="2">
        <v>16</v>
      </c>
      <c r="AW12" s="2">
        <v>27</v>
      </c>
      <c r="AX12" s="2">
        <v>198</v>
      </c>
      <c r="AY12" s="2">
        <v>46</v>
      </c>
      <c r="AZ12" s="2">
        <v>344</v>
      </c>
      <c r="BA12" s="2">
        <v>30</v>
      </c>
      <c r="BB12" s="2">
        <v>45</v>
      </c>
      <c r="BC12" s="11" t="s">
        <v>15</v>
      </c>
      <c r="BD12" s="11" t="s">
        <v>425</v>
      </c>
      <c r="BE12" s="11">
        <v>70556</v>
      </c>
      <c r="BF12" s="11" t="s">
        <v>402</v>
      </c>
      <c r="BG12" s="11">
        <v>10</v>
      </c>
      <c r="BH12" s="11">
        <v>1255</v>
      </c>
      <c r="BI12" s="11">
        <v>717</v>
      </c>
      <c r="BJ12" s="11">
        <v>717</v>
      </c>
      <c r="BK12" s="11">
        <v>12</v>
      </c>
      <c r="BL12" s="11">
        <v>705</v>
      </c>
      <c r="BM12" s="11">
        <v>259</v>
      </c>
      <c r="BN12" s="11">
        <v>47</v>
      </c>
      <c r="BO12" s="11">
        <v>6</v>
      </c>
      <c r="BP12" s="11">
        <v>28</v>
      </c>
      <c r="BQ12" s="11">
        <v>34</v>
      </c>
      <c r="BR12" s="11">
        <v>1</v>
      </c>
      <c r="BS12" s="11">
        <v>246</v>
      </c>
      <c r="BT12" s="11">
        <v>0</v>
      </c>
      <c r="BU12" s="11">
        <v>0</v>
      </c>
      <c r="BV12" s="11">
        <v>1</v>
      </c>
      <c r="BW12" s="11">
        <v>6</v>
      </c>
      <c r="BX12" s="11">
        <v>23</v>
      </c>
      <c r="BY12" s="11">
        <v>0</v>
      </c>
      <c r="BZ12" s="11">
        <v>39</v>
      </c>
      <c r="CA12" s="11">
        <v>2</v>
      </c>
      <c r="CB12" s="11">
        <v>6</v>
      </c>
      <c r="CC12" s="11">
        <v>5</v>
      </c>
      <c r="CD12" s="11">
        <v>2</v>
      </c>
      <c r="CE12">
        <v>312</v>
      </c>
      <c r="CF12">
        <v>68</v>
      </c>
      <c r="CG12">
        <v>276</v>
      </c>
      <c r="CH12">
        <v>39</v>
      </c>
      <c r="CI12">
        <v>10</v>
      </c>
      <c r="CJ12" s="14">
        <v>0.57131474103585655</v>
      </c>
      <c r="CK12" s="14">
        <v>0.43514644351464438</v>
      </c>
      <c r="CL12" s="14">
        <v>9.4839609483960946E-2</v>
      </c>
      <c r="CM12" s="14">
        <v>0.38493723849372385</v>
      </c>
      <c r="CN12" s="14">
        <v>5.4393305439330547E-2</v>
      </c>
      <c r="CO12" s="14">
        <v>1.3947001394700139E-2</v>
      </c>
      <c r="CP12" s="30">
        <v>1</v>
      </c>
      <c r="CQ12" s="15">
        <v>344</v>
      </c>
      <c r="CR12">
        <v>137</v>
      </c>
      <c r="CS12">
        <v>216</v>
      </c>
      <c r="CU12">
        <v>6</v>
      </c>
      <c r="CV12" s="14">
        <v>0.55401234567901236</v>
      </c>
      <c r="CW12" s="14">
        <v>0.47910863509749302</v>
      </c>
      <c r="CX12" s="14">
        <v>0.19080779944289694</v>
      </c>
      <c r="CY12" s="14">
        <v>0.30083565459610029</v>
      </c>
      <c r="CZ12" s="14">
        <v>0</v>
      </c>
      <c r="DA12" s="14">
        <v>8.356545961002786E-3</v>
      </c>
      <c r="DB12" s="30">
        <v>2</v>
      </c>
      <c r="DC12" s="14" t="s">
        <v>481</v>
      </c>
      <c r="DD12" s="17" t="s">
        <v>433</v>
      </c>
      <c r="DE12" s="17" t="s">
        <v>434</v>
      </c>
      <c r="DF12" s="17" t="s">
        <v>454</v>
      </c>
      <c r="DG12" s="21">
        <v>549.54</v>
      </c>
      <c r="DH12" s="22">
        <v>1255</v>
      </c>
      <c r="DI12" s="16">
        <v>1</v>
      </c>
      <c r="DJ12" s="16">
        <v>717</v>
      </c>
      <c r="DK12" s="23">
        <v>0.57131474103585655</v>
      </c>
      <c r="DL12" s="16">
        <v>1</v>
      </c>
      <c r="DM12">
        <v>2</v>
      </c>
      <c r="DN12" s="24"/>
      <c r="DO12" s="25"/>
      <c r="DP12" s="25"/>
      <c r="DQ12" s="27"/>
      <c r="DR12" s="26"/>
    </row>
    <row r="13" spans="1:128" ht="14.25" customHeight="1">
      <c r="A13" s="2">
        <v>4971</v>
      </c>
      <c r="B13" s="3" t="s">
        <v>197</v>
      </c>
      <c r="C13" s="3" t="s">
        <v>203</v>
      </c>
      <c r="D13" s="4">
        <v>11</v>
      </c>
      <c r="E13" s="3" t="s">
        <v>231</v>
      </c>
      <c r="F13" s="3" t="s">
        <v>232</v>
      </c>
      <c r="G13" s="4" t="s">
        <v>233</v>
      </c>
      <c r="H13" s="4" t="b">
        <v>1</v>
      </c>
      <c r="I13" s="4" t="b">
        <v>1</v>
      </c>
      <c r="J13" s="5" t="s">
        <v>233</v>
      </c>
      <c r="K13" s="5" t="s">
        <v>203</v>
      </c>
      <c r="L13" s="5" t="s">
        <v>231</v>
      </c>
      <c r="M13" s="5" t="s">
        <v>232</v>
      </c>
      <c r="N13" s="2" t="s">
        <v>15</v>
      </c>
      <c r="O13" s="2" t="s">
        <v>401</v>
      </c>
      <c r="P13" s="2">
        <v>70556</v>
      </c>
      <c r="Q13" s="2" t="s">
        <v>402</v>
      </c>
      <c r="R13" s="2">
        <v>1204</v>
      </c>
      <c r="S13" s="2">
        <v>652</v>
      </c>
      <c r="T13" s="2">
        <v>652</v>
      </c>
      <c r="U13" s="2">
        <v>14</v>
      </c>
      <c r="V13" s="2">
        <v>638</v>
      </c>
      <c r="W13" s="2">
        <v>224</v>
      </c>
      <c r="X13" s="2">
        <v>77</v>
      </c>
      <c r="Y13" s="2">
        <v>1</v>
      </c>
      <c r="Z13" s="2">
        <v>11</v>
      </c>
      <c r="AA13" s="2">
        <v>124</v>
      </c>
      <c r="AB13" s="2">
        <v>32</v>
      </c>
      <c r="AC13" s="2">
        <v>22</v>
      </c>
      <c r="AD13" s="2">
        <v>4</v>
      </c>
      <c r="AE13" s="2">
        <v>50</v>
      </c>
      <c r="AF13" s="2">
        <v>34</v>
      </c>
      <c r="AG13" s="2">
        <v>29</v>
      </c>
      <c r="AH13" s="2">
        <v>1</v>
      </c>
      <c r="AI13" s="2">
        <v>1</v>
      </c>
      <c r="AJ13" s="2">
        <v>19</v>
      </c>
      <c r="AK13" s="2">
        <v>0</v>
      </c>
      <c r="AL13" s="2">
        <v>0</v>
      </c>
      <c r="AM13" s="2">
        <v>5</v>
      </c>
      <c r="AN13" s="2">
        <v>2</v>
      </c>
      <c r="AO13" s="2">
        <v>2</v>
      </c>
      <c r="AP13" s="2">
        <v>1204</v>
      </c>
      <c r="AQ13" s="2">
        <v>652</v>
      </c>
      <c r="AR13" s="2">
        <v>652</v>
      </c>
      <c r="AS13" s="2">
        <v>12</v>
      </c>
      <c r="AT13" s="2">
        <v>640</v>
      </c>
      <c r="AU13" s="2">
        <v>6</v>
      </c>
      <c r="AV13" s="2">
        <v>25</v>
      </c>
      <c r="AW13" s="2">
        <v>21</v>
      </c>
      <c r="AX13" s="2">
        <v>165</v>
      </c>
      <c r="AY13" s="2">
        <v>33</v>
      </c>
      <c r="AZ13" s="2">
        <v>323</v>
      </c>
      <c r="BA13" s="2">
        <v>36</v>
      </c>
      <c r="BB13" s="2">
        <v>31</v>
      </c>
      <c r="BC13" s="11" t="s">
        <v>15</v>
      </c>
      <c r="BD13" s="11" t="s">
        <v>425</v>
      </c>
      <c r="BE13" s="11">
        <v>70556</v>
      </c>
      <c r="BF13" s="11" t="s">
        <v>402</v>
      </c>
      <c r="BG13" s="11">
        <v>11</v>
      </c>
      <c r="BH13" s="11">
        <v>1202</v>
      </c>
      <c r="BI13" s="11">
        <v>596</v>
      </c>
      <c r="BJ13" s="11">
        <v>596</v>
      </c>
      <c r="BK13" s="11">
        <v>11</v>
      </c>
      <c r="BL13" s="11">
        <v>585</v>
      </c>
      <c r="BM13" s="11">
        <v>237</v>
      </c>
      <c r="BN13" s="11">
        <v>41</v>
      </c>
      <c r="BO13" s="11">
        <v>5</v>
      </c>
      <c r="BP13" s="11">
        <v>17</v>
      </c>
      <c r="BQ13" s="11">
        <v>17</v>
      </c>
      <c r="BR13" s="11">
        <v>0</v>
      </c>
      <c r="BS13" s="11">
        <v>199</v>
      </c>
      <c r="BT13" s="11">
        <v>1</v>
      </c>
      <c r="BU13" s="11">
        <v>1</v>
      </c>
      <c r="BV13" s="11">
        <v>1</v>
      </c>
      <c r="BW13" s="11">
        <v>9</v>
      </c>
      <c r="BX13" s="11">
        <v>15</v>
      </c>
      <c r="BY13" s="11">
        <v>1</v>
      </c>
      <c r="BZ13" s="11">
        <v>35</v>
      </c>
      <c r="CA13" s="11">
        <v>1</v>
      </c>
      <c r="CB13" s="11">
        <v>2</v>
      </c>
      <c r="CC13" s="11">
        <v>3</v>
      </c>
      <c r="CD13" s="11">
        <v>0</v>
      </c>
      <c r="CE13">
        <v>283</v>
      </c>
      <c r="CF13">
        <v>43</v>
      </c>
      <c r="CG13">
        <v>218</v>
      </c>
      <c r="CH13">
        <v>35</v>
      </c>
      <c r="CI13">
        <v>6</v>
      </c>
      <c r="CJ13" s="14">
        <v>0.49584026622296173</v>
      </c>
      <c r="CK13" s="14">
        <v>0.47483221476510068</v>
      </c>
      <c r="CL13" s="14">
        <v>7.2147651006711416E-2</v>
      </c>
      <c r="CM13" s="14">
        <v>0.36577181208053694</v>
      </c>
      <c r="CN13" s="14">
        <v>5.8724832214765099E-2</v>
      </c>
      <c r="CO13" s="14">
        <v>1.0067114093959731E-2</v>
      </c>
      <c r="CP13" s="30">
        <v>1</v>
      </c>
      <c r="CQ13" s="15">
        <v>312</v>
      </c>
      <c r="CR13">
        <v>117</v>
      </c>
      <c r="CS13">
        <v>199</v>
      </c>
      <c r="CU13">
        <v>10</v>
      </c>
      <c r="CV13" s="14">
        <v>0.5415282392026578</v>
      </c>
      <c r="CW13" s="14">
        <v>0.4785276073619632</v>
      </c>
      <c r="CX13" s="14">
        <v>0.17944785276073619</v>
      </c>
      <c r="CY13" s="14">
        <v>0.30521472392638038</v>
      </c>
      <c r="CZ13" s="14">
        <v>0</v>
      </c>
      <c r="DA13" s="14">
        <v>1.5337423312883436E-2</v>
      </c>
      <c r="DB13" s="30">
        <v>2</v>
      </c>
      <c r="DC13" s="14" t="s">
        <v>481</v>
      </c>
      <c r="DD13" s="17" t="s">
        <v>433</v>
      </c>
      <c r="DE13" s="17" t="s">
        <v>434</v>
      </c>
      <c r="DF13" s="17" t="s">
        <v>454</v>
      </c>
      <c r="DG13" s="21">
        <v>505.64</v>
      </c>
      <c r="DH13" s="22">
        <v>1202</v>
      </c>
      <c r="DI13" s="16">
        <v>1</v>
      </c>
      <c r="DJ13" s="16">
        <v>596</v>
      </c>
      <c r="DK13" s="23">
        <v>0.49584026622296173</v>
      </c>
      <c r="DL13" s="16">
        <v>1</v>
      </c>
      <c r="DM13">
        <v>2</v>
      </c>
      <c r="DN13" s="24"/>
      <c r="DO13" s="25"/>
      <c r="DP13" s="25"/>
      <c r="DQ13" s="27"/>
      <c r="DR13" s="26"/>
    </row>
    <row r="14" spans="1:128" ht="14.25" customHeight="1">
      <c r="A14" s="2">
        <v>4972</v>
      </c>
      <c r="B14" s="3" t="s">
        <v>197</v>
      </c>
      <c r="C14" s="3" t="s">
        <v>203</v>
      </c>
      <c r="D14" s="4">
        <v>12</v>
      </c>
      <c r="E14" s="3" t="s">
        <v>234</v>
      </c>
      <c r="F14" s="3" t="s">
        <v>235</v>
      </c>
      <c r="G14" s="4" t="s">
        <v>236</v>
      </c>
      <c r="H14" s="4" t="b">
        <v>1</v>
      </c>
      <c r="I14" s="4" t="b">
        <v>1</v>
      </c>
      <c r="J14" s="5" t="s">
        <v>236</v>
      </c>
      <c r="K14" s="5" t="s">
        <v>203</v>
      </c>
      <c r="L14" s="5" t="s">
        <v>234</v>
      </c>
      <c r="M14" s="5" t="s">
        <v>235</v>
      </c>
      <c r="N14" s="2" t="s">
        <v>15</v>
      </c>
      <c r="O14" s="2" t="s">
        <v>401</v>
      </c>
      <c r="P14" s="2">
        <v>70556</v>
      </c>
      <c r="Q14" s="2" t="s">
        <v>402</v>
      </c>
      <c r="R14" s="2">
        <v>1742</v>
      </c>
      <c r="S14" s="2">
        <v>903</v>
      </c>
      <c r="T14" s="2">
        <v>903</v>
      </c>
      <c r="U14" s="2">
        <v>14</v>
      </c>
      <c r="V14" s="2">
        <v>889</v>
      </c>
      <c r="W14" s="2">
        <v>312</v>
      </c>
      <c r="X14" s="2">
        <v>119</v>
      </c>
      <c r="Y14" s="2">
        <v>0</v>
      </c>
      <c r="Z14" s="2">
        <v>14</v>
      </c>
      <c r="AA14" s="2">
        <v>140</v>
      </c>
      <c r="AB14" s="2">
        <v>61</v>
      </c>
      <c r="AC14" s="2">
        <v>45</v>
      </c>
      <c r="AD14" s="2">
        <v>1</v>
      </c>
      <c r="AE14" s="2">
        <v>94</v>
      </c>
      <c r="AF14" s="2">
        <v>27</v>
      </c>
      <c r="AG14" s="2">
        <v>48</v>
      </c>
      <c r="AH14" s="2">
        <v>0</v>
      </c>
      <c r="AI14" s="2">
        <v>0</v>
      </c>
      <c r="AJ14" s="2">
        <v>9</v>
      </c>
      <c r="AK14" s="2">
        <v>1</v>
      </c>
      <c r="AL14" s="2">
        <v>0</v>
      </c>
      <c r="AM14" s="2">
        <v>8</v>
      </c>
      <c r="AN14" s="2">
        <v>8</v>
      </c>
      <c r="AO14" s="2">
        <v>2</v>
      </c>
      <c r="AP14" s="2">
        <v>1742</v>
      </c>
      <c r="AQ14" s="2">
        <v>903</v>
      </c>
      <c r="AR14" s="2">
        <v>902</v>
      </c>
      <c r="AS14" s="2">
        <v>7</v>
      </c>
      <c r="AT14" s="2">
        <v>895</v>
      </c>
      <c r="AU14" s="2">
        <v>7</v>
      </c>
      <c r="AV14" s="2">
        <v>48</v>
      </c>
      <c r="AW14" s="2">
        <v>33</v>
      </c>
      <c r="AX14" s="2">
        <v>204</v>
      </c>
      <c r="AY14" s="2">
        <v>49</v>
      </c>
      <c r="AZ14" s="2">
        <v>436</v>
      </c>
      <c r="BA14" s="2">
        <v>64</v>
      </c>
      <c r="BB14" s="2">
        <v>54</v>
      </c>
      <c r="BC14" s="11" t="s">
        <v>15</v>
      </c>
      <c r="BD14" s="11" t="s">
        <v>425</v>
      </c>
      <c r="BE14" s="11">
        <v>70556</v>
      </c>
      <c r="BF14" s="11" t="s">
        <v>402</v>
      </c>
      <c r="BG14" s="11">
        <v>12</v>
      </c>
      <c r="BH14" s="11">
        <v>1711</v>
      </c>
      <c r="BI14" s="11">
        <v>912</v>
      </c>
      <c r="BJ14" s="11">
        <v>912</v>
      </c>
      <c r="BK14" s="11">
        <v>17</v>
      </c>
      <c r="BL14" s="11">
        <v>895</v>
      </c>
      <c r="BM14" s="11">
        <v>341</v>
      </c>
      <c r="BN14" s="11">
        <v>48</v>
      </c>
      <c r="BO14" s="11">
        <v>15</v>
      </c>
      <c r="BP14" s="11">
        <v>50</v>
      </c>
      <c r="BQ14" s="11">
        <v>41</v>
      </c>
      <c r="BR14" s="11">
        <v>0</v>
      </c>
      <c r="BS14" s="11">
        <v>291</v>
      </c>
      <c r="BT14" s="11">
        <v>0</v>
      </c>
      <c r="BU14" s="11">
        <v>0</v>
      </c>
      <c r="BV14" s="11">
        <v>3</v>
      </c>
      <c r="BW14" s="11">
        <v>4</v>
      </c>
      <c r="BX14" s="11">
        <v>17</v>
      </c>
      <c r="BY14" s="11">
        <v>0</v>
      </c>
      <c r="BZ14" s="11">
        <v>77</v>
      </c>
      <c r="CA14" s="11">
        <v>1</v>
      </c>
      <c r="CB14" s="11">
        <v>3</v>
      </c>
      <c r="CC14" s="11">
        <v>4</v>
      </c>
      <c r="CD14" s="11">
        <v>0</v>
      </c>
      <c r="CE14">
        <v>404</v>
      </c>
      <c r="CF14">
        <v>95</v>
      </c>
      <c r="CG14">
        <v>313</v>
      </c>
      <c r="CH14">
        <v>77</v>
      </c>
      <c r="CI14">
        <v>6</v>
      </c>
      <c r="CJ14" s="14">
        <v>0.53302162478082993</v>
      </c>
      <c r="CK14" s="14">
        <v>0.44298245614035087</v>
      </c>
      <c r="CL14" s="14">
        <v>0.10416666666666667</v>
      </c>
      <c r="CM14" s="14">
        <v>0.3432017543859649</v>
      </c>
      <c r="CN14" s="14">
        <v>8.4429824561403508E-2</v>
      </c>
      <c r="CO14" s="14">
        <v>6.5789473684210523E-3</v>
      </c>
      <c r="CP14" s="30">
        <v>2</v>
      </c>
      <c r="CQ14" s="15">
        <v>445</v>
      </c>
      <c r="CR14">
        <v>181</v>
      </c>
      <c r="CS14">
        <v>251</v>
      </c>
      <c r="CU14">
        <v>12</v>
      </c>
      <c r="CV14" s="14">
        <v>0.51836969001148103</v>
      </c>
      <c r="CW14" s="14">
        <v>0.49280177187153934</v>
      </c>
      <c r="CX14" s="14">
        <v>0.20044296788482835</v>
      </c>
      <c r="CY14" s="14">
        <v>0.27796234772978962</v>
      </c>
      <c r="CZ14" s="14">
        <v>0</v>
      </c>
      <c r="DA14" s="14">
        <v>1.3289036544850499E-2</v>
      </c>
      <c r="DB14" s="30">
        <v>2</v>
      </c>
      <c r="DC14" s="14" t="s">
        <v>477</v>
      </c>
      <c r="DD14" s="17" t="s">
        <v>434</v>
      </c>
      <c r="DE14" s="17" t="s">
        <v>434</v>
      </c>
      <c r="DF14" s="17" t="s">
        <v>449</v>
      </c>
      <c r="DG14" s="21">
        <v>727.74</v>
      </c>
      <c r="DH14" s="22">
        <v>1711</v>
      </c>
      <c r="DI14" s="16">
        <v>1</v>
      </c>
      <c r="DJ14" s="16">
        <v>912</v>
      </c>
      <c r="DK14" s="23">
        <v>0.53302162478082993</v>
      </c>
      <c r="DL14" s="16">
        <v>1</v>
      </c>
      <c r="DM14">
        <v>3</v>
      </c>
      <c r="DN14" s="24"/>
      <c r="DO14" s="25"/>
      <c r="DP14" s="25"/>
      <c r="DQ14" s="27"/>
      <c r="DR14" s="26"/>
    </row>
    <row r="15" spans="1:128" ht="14.25" customHeight="1">
      <c r="A15" s="2">
        <v>4973</v>
      </c>
      <c r="B15" s="3" t="s">
        <v>197</v>
      </c>
      <c r="C15" s="3" t="s">
        <v>203</v>
      </c>
      <c r="D15" s="4">
        <v>13</v>
      </c>
      <c r="E15" s="3" t="s">
        <v>237</v>
      </c>
      <c r="F15" s="3" t="s">
        <v>238</v>
      </c>
      <c r="G15" s="4" t="s">
        <v>239</v>
      </c>
      <c r="H15" s="4" t="b">
        <v>1</v>
      </c>
      <c r="I15" s="4" t="b">
        <v>1</v>
      </c>
      <c r="J15" s="5" t="s">
        <v>239</v>
      </c>
      <c r="K15" s="5" t="s">
        <v>203</v>
      </c>
      <c r="L15" s="5" t="s">
        <v>237</v>
      </c>
      <c r="M15" s="5" t="s">
        <v>238</v>
      </c>
      <c r="N15" s="2" t="s">
        <v>15</v>
      </c>
      <c r="O15" s="2" t="s">
        <v>401</v>
      </c>
      <c r="P15" s="2">
        <v>70556</v>
      </c>
      <c r="Q15" s="2" t="s">
        <v>402</v>
      </c>
      <c r="R15" s="2">
        <v>1296</v>
      </c>
      <c r="S15" s="2">
        <v>1296</v>
      </c>
      <c r="T15" s="2">
        <v>679</v>
      </c>
      <c r="U15" s="2">
        <v>18</v>
      </c>
      <c r="V15" s="2">
        <v>661</v>
      </c>
      <c r="W15" s="2">
        <v>261</v>
      </c>
      <c r="X15" s="2">
        <v>92</v>
      </c>
      <c r="Y15" s="2">
        <v>2</v>
      </c>
      <c r="Z15" s="2">
        <v>11</v>
      </c>
      <c r="AA15" s="2">
        <v>111</v>
      </c>
      <c r="AB15" s="2">
        <v>34</v>
      </c>
      <c r="AC15" s="2">
        <v>33</v>
      </c>
      <c r="AD15" s="2">
        <v>1</v>
      </c>
      <c r="AE15" s="2">
        <v>42</v>
      </c>
      <c r="AF15" s="2">
        <v>18</v>
      </c>
      <c r="AG15" s="2">
        <v>32</v>
      </c>
      <c r="AH15" s="2">
        <v>1</v>
      </c>
      <c r="AI15" s="2">
        <v>0</v>
      </c>
      <c r="AJ15" s="2">
        <v>12</v>
      </c>
      <c r="AK15" s="2">
        <v>0</v>
      </c>
      <c r="AL15" s="2">
        <v>0</v>
      </c>
      <c r="AM15" s="2">
        <v>7</v>
      </c>
      <c r="AN15" s="2">
        <v>2</v>
      </c>
      <c r="AO15" s="2">
        <v>2</v>
      </c>
      <c r="AP15" s="2">
        <v>1296</v>
      </c>
      <c r="AQ15" s="2">
        <v>679</v>
      </c>
      <c r="AR15" s="2">
        <v>679</v>
      </c>
      <c r="AS15" s="2">
        <v>11</v>
      </c>
      <c r="AT15" s="2">
        <v>668</v>
      </c>
      <c r="AU15" s="2">
        <v>2</v>
      </c>
      <c r="AV15" s="2">
        <v>16</v>
      </c>
      <c r="AW15" s="2">
        <v>14</v>
      </c>
      <c r="AX15" s="2">
        <v>163</v>
      </c>
      <c r="AY15" s="2">
        <v>42</v>
      </c>
      <c r="AZ15" s="2">
        <v>362</v>
      </c>
      <c r="BA15" s="2">
        <v>32</v>
      </c>
      <c r="BB15" s="2">
        <v>37</v>
      </c>
      <c r="BC15" s="11" t="s">
        <v>15</v>
      </c>
      <c r="BD15" s="11" t="s">
        <v>425</v>
      </c>
      <c r="BE15" s="11">
        <v>70556</v>
      </c>
      <c r="BF15" s="11" t="s">
        <v>402</v>
      </c>
      <c r="BG15" s="11">
        <v>13</v>
      </c>
      <c r="BH15" s="11">
        <v>1292</v>
      </c>
      <c r="BI15" s="11">
        <v>685</v>
      </c>
      <c r="BJ15" s="11">
        <v>685</v>
      </c>
      <c r="BK15" s="11">
        <v>13</v>
      </c>
      <c r="BL15" s="11">
        <v>672</v>
      </c>
      <c r="BM15" s="11">
        <v>295</v>
      </c>
      <c r="BN15" s="11">
        <v>46</v>
      </c>
      <c r="BO15" s="11">
        <v>6</v>
      </c>
      <c r="BP15" s="11">
        <v>18</v>
      </c>
      <c r="BQ15" s="11">
        <v>29</v>
      </c>
      <c r="BR15" s="11">
        <v>0</v>
      </c>
      <c r="BS15" s="11">
        <v>192</v>
      </c>
      <c r="BT15" s="11">
        <v>0</v>
      </c>
      <c r="BU15" s="11">
        <v>0</v>
      </c>
      <c r="BV15" s="11">
        <v>0</v>
      </c>
      <c r="BW15" s="11">
        <v>4</v>
      </c>
      <c r="BX15" s="11">
        <v>13</v>
      </c>
      <c r="BY15" s="11">
        <v>0</v>
      </c>
      <c r="BZ15" s="11">
        <v>60</v>
      </c>
      <c r="CA15" s="11">
        <v>0</v>
      </c>
      <c r="CB15" s="11">
        <v>4</v>
      </c>
      <c r="CC15" s="11">
        <v>4</v>
      </c>
      <c r="CD15" s="11">
        <v>1</v>
      </c>
      <c r="CE15">
        <v>347</v>
      </c>
      <c r="CF15">
        <v>51</v>
      </c>
      <c r="CG15">
        <v>209</v>
      </c>
      <c r="CH15">
        <v>60</v>
      </c>
      <c r="CI15">
        <v>5</v>
      </c>
      <c r="CJ15" s="14">
        <v>0.5301857585139319</v>
      </c>
      <c r="CK15" s="14">
        <v>0.50656934306569346</v>
      </c>
      <c r="CL15" s="14">
        <v>7.4452554744525543E-2</v>
      </c>
      <c r="CM15" s="14">
        <v>0.30510948905109492</v>
      </c>
      <c r="CN15" s="14">
        <v>8.7591240875912413E-2</v>
      </c>
      <c r="CO15" s="14">
        <v>7.2992700729927005E-3</v>
      </c>
      <c r="CP15" s="30">
        <v>2</v>
      </c>
      <c r="CQ15" s="15">
        <v>364</v>
      </c>
      <c r="CR15">
        <v>117</v>
      </c>
      <c r="CS15">
        <v>173</v>
      </c>
      <c r="CU15">
        <v>7</v>
      </c>
      <c r="CV15" s="14">
        <v>1</v>
      </c>
      <c r="CW15" s="14">
        <v>0.28086419753086422</v>
      </c>
      <c r="CX15" s="14">
        <v>9.0277777777777776E-2</v>
      </c>
      <c r="CY15" s="14">
        <v>0.13348765432098766</v>
      </c>
      <c r="CZ15" s="14">
        <v>0</v>
      </c>
      <c r="DA15" s="14">
        <v>5.4012345679012343E-3</v>
      </c>
      <c r="DB15" s="30">
        <v>8</v>
      </c>
      <c r="DC15" s="14" t="s">
        <v>485</v>
      </c>
      <c r="DD15" s="17" t="s">
        <v>434</v>
      </c>
      <c r="DE15" s="17" t="s">
        <v>439</v>
      </c>
      <c r="DF15" s="17" t="s">
        <v>459</v>
      </c>
      <c r="DG15" s="21">
        <v>522.63</v>
      </c>
      <c r="DH15" s="22">
        <v>1292</v>
      </c>
      <c r="DI15" s="16">
        <v>1</v>
      </c>
      <c r="DJ15" s="16">
        <v>685</v>
      </c>
      <c r="DK15" s="23">
        <v>0.5301857585139319</v>
      </c>
      <c r="DL15" s="16">
        <v>1</v>
      </c>
      <c r="DM15">
        <v>3</v>
      </c>
      <c r="DN15" s="24"/>
      <c r="DO15" s="25"/>
      <c r="DP15" s="25"/>
      <c r="DQ15" s="27"/>
      <c r="DR15" s="26"/>
    </row>
    <row r="16" spans="1:128" ht="14.25" customHeight="1">
      <c r="A16" s="2">
        <v>4974</v>
      </c>
      <c r="B16" s="3" t="s">
        <v>197</v>
      </c>
      <c r="C16" s="3" t="s">
        <v>203</v>
      </c>
      <c r="D16" s="4">
        <v>14</v>
      </c>
      <c r="E16" s="3" t="s">
        <v>240</v>
      </c>
      <c r="F16" s="3" t="s">
        <v>241</v>
      </c>
      <c r="G16" s="4" t="s">
        <v>242</v>
      </c>
      <c r="H16" s="4" t="b">
        <v>1</v>
      </c>
      <c r="I16" s="4" t="b">
        <v>1</v>
      </c>
      <c r="J16" s="5" t="s">
        <v>242</v>
      </c>
      <c r="K16" s="5" t="s">
        <v>203</v>
      </c>
      <c r="L16" s="5" t="s">
        <v>240</v>
      </c>
      <c r="M16" s="5" t="s">
        <v>241</v>
      </c>
      <c r="N16" s="2" t="s">
        <v>15</v>
      </c>
      <c r="O16" s="2" t="s">
        <v>401</v>
      </c>
      <c r="P16" s="2">
        <v>70556</v>
      </c>
      <c r="Q16" s="2" t="s">
        <v>402</v>
      </c>
      <c r="R16" s="2">
        <v>1050</v>
      </c>
      <c r="S16" s="2">
        <v>553</v>
      </c>
      <c r="T16" s="2">
        <v>553</v>
      </c>
      <c r="U16" s="2">
        <v>17</v>
      </c>
      <c r="V16" s="2">
        <v>536</v>
      </c>
      <c r="W16" s="2">
        <v>221</v>
      </c>
      <c r="X16" s="2">
        <v>77</v>
      </c>
      <c r="Y16" s="2">
        <v>0</v>
      </c>
      <c r="Z16" s="2">
        <v>16</v>
      </c>
      <c r="AA16" s="2">
        <v>69</v>
      </c>
      <c r="AB16" s="2">
        <v>35</v>
      </c>
      <c r="AC16" s="2">
        <v>21</v>
      </c>
      <c r="AD16" s="2">
        <v>0</v>
      </c>
      <c r="AE16" s="2">
        <v>34</v>
      </c>
      <c r="AF16" s="2">
        <v>22</v>
      </c>
      <c r="AG16" s="2">
        <v>24</v>
      </c>
      <c r="AH16" s="2">
        <v>0</v>
      </c>
      <c r="AI16" s="2">
        <v>0</v>
      </c>
      <c r="AJ16" s="2">
        <v>7</v>
      </c>
      <c r="AK16" s="2">
        <v>0</v>
      </c>
      <c r="AL16" s="2">
        <v>0</v>
      </c>
      <c r="AM16" s="2">
        <v>5</v>
      </c>
      <c r="AN16" s="2">
        <v>2</v>
      </c>
      <c r="AO16" s="2">
        <v>3</v>
      </c>
      <c r="AP16" s="2">
        <v>1050</v>
      </c>
      <c r="AQ16" s="2">
        <v>553</v>
      </c>
      <c r="AR16" s="2">
        <v>553</v>
      </c>
      <c r="AS16" s="2">
        <v>8</v>
      </c>
      <c r="AT16" s="2">
        <v>545</v>
      </c>
      <c r="AU16" s="2">
        <v>3</v>
      </c>
      <c r="AV16" s="2">
        <v>17</v>
      </c>
      <c r="AW16" s="2">
        <v>15</v>
      </c>
      <c r="AX16" s="2">
        <v>95</v>
      </c>
      <c r="AY16" s="2">
        <v>34</v>
      </c>
      <c r="AZ16" s="2">
        <v>316</v>
      </c>
      <c r="BA16" s="2">
        <v>41</v>
      </c>
      <c r="BB16" s="2">
        <v>24</v>
      </c>
      <c r="BC16" s="11" t="s">
        <v>15</v>
      </c>
      <c r="BD16" s="11" t="s">
        <v>425</v>
      </c>
      <c r="BE16" s="11">
        <v>70556</v>
      </c>
      <c r="BF16" s="11" t="s">
        <v>402</v>
      </c>
      <c r="BG16" s="11">
        <v>14</v>
      </c>
      <c r="BH16" s="11">
        <v>1028</v>
      </c>
      <c r="BI16" s="11">
        <v>551</v>
      </c>
      <c r="BJ16" s="11">
        <v>551</v>
      </c>
      <c r="BK16" s="11">
        <v>15</v>
      </c>
      <c r="BL16" s="11">
        <v>536</v>
      </c>
      <c r="BM16" s="11">
        <v>225</v>
      </c>
      <c r="BN16" s="11">
        <v>44</v>
      </c>
      <c r="BO16" s="11">
        <v>11</v>
      </c>
      <c r="BP16" s="11">
        <v>15</v>
      </c>
      <c r="BQ16" s="11">
        <v>31</v>
      </c>
      <c r="BR16" s="11">
        <v>0</v>
      </c>
      <c r="BS16" s="11">
        <v>147</v>
      </c>
      <c r="BT16" s="11">
        <v>0</v>
      </c>
      <c r="BU16" s="11">
        <v>0</v>
      </c>
      <c r="BV16" s="11">
        <v>0</v>
      </c>
      <c r="BW16" s="11">
        <v>2</v>
      </c>
      <c r="BX16" s="11">
        <v>8</v>
      </c>
      <c r="BY16" s="11">
        <v>0</v>
      </c>
      <c r="BZ16" s="11">
        <v>49</v>
      </c>
      <c r="CA16" s="11">
        <v>0</v>
      </c>
      <c r="CB16" s="11">
        <v>2</v>
      </c>
      <c r="CC16" s="11">
        <v>2</v>
      </c>
      <c r="CD16" s="11">
        <v>0</v>
      </c>
      <c r="CE16">
        <v>280</v>
      </c>
      <c r="CF16">
        <v>48</v>
      </c>
      <c r="CG16">
        <v>157</v>
      </c>
      <c r="CH16">
        <v>49</v>
      </c>
      <c r="CI16">
        <v>2</v>
      </c>
      <c r="CJ16" s="14">
        <v>0.53599221789883267</v>
      </c>
      <c r="CK16" s="14">
        <v>0.50816696914700543</v>
      </c>
      <c r="CL16" s="14">
        <v>8.7114337568058073E-2</v>
      </c>
      <c r="CM16" s="14">
        <v>0.28493647912885661</v>
      </c>
      <c r="CN16" s="14">
        <v>8.8929219600725959E-2</v>
      </c>
      <c r="CO16" s="14">
        <v>3.629764065335753E-3</v>
      </c>
      <c r="CP16" s="30">
        <v>4</v>
      </c>
      <c r="CQ16" s="15">
        <v>314</v>
      </c>
      <c r="CR16">
        <v>102</v>
      </c>
      <c r="CS16">
        <v>115</v>
      </c>
      <c r="CU16">
        <v>5</v>
      </c>
      <c r="CV16" s="14">
        <v>0.52666666666666662</v>
      </c>
      <c r="CW16" s="14">
        <v>0.56781193490054249</v>
      </c>
      <c r="CX16" s="14">
        <v>0.18444846292947559</v>
      </c>
      <c r="CY16" s="14">
        <v>0.20795660036166366</v>
      </c>
      <c r="CZ16" s="14">
        <v>0</v>
      </c>
      <c r="DA16" s="14">
        <v>9.0415913200723331E-3</v>
      </c>
      <c r="DB16" s="30">
        <v>3</v>
      </c>
      <c r="DC16" s="14" t="s">
        <v>491</v>
      </c>
      <c r="DD16" s="17" t="s">
        <v>436</v>
      </c>
      <c r="DE16" s="17" t="s">
        <v>435</v>
      </c>
      <c r="DF16" s="17" t="s">
        <v>492</v>
      </c>
      <c r="DG16" s="21">
        <v>412.42000000000007</v>
      </c>
      <c r="DH16" s="22">
        <v>1028</v>
      </c>
      <c r="DI16" s="16">
        <v>1</v>
      </c>
      <c r="DJ16" s="16">
        <v>551</v>
      </c>
      <c r="DK16" s="23">
        <v>0.53599221789883267</v>
      </c>
      <c r="DL16" s="16">
        <v>0</v>
      </c>
      <c r="DM16">
        <v>0</v>
      </c>
      <c r="DN16" s="25"/>
      <c r="DO16" s="25"/>
      <c r="DP16" s="25"/>
      <c r="DQ16" s="26"/>
      <c r="DR16" s="26"/>
    </row>
    <row r="17" spans="1:122" ht="14.25" customHeight="1">
      <c r="A17" s="2">
        <v>4975</v>
      </c>
      <c r="B17" s="3" t="s">
        <v>197</v>
      </c>
      <c r="C17" s="3" t="s">
        <v>203</v>
      </c>
      <c r="D17" s="4">
        <v>15</v>
      </c>
      <c r="E17" s="3" t="s">
        <v>22</v>
      </c>
      <c r="F17" s="3" t="s">
        <v>243</v>
      </c>
      <c r="G17" s="4" t="s">
        <v>244</v>
      </c>
      <c r="H17" s="4" t="b">
        <v>1</v>
      </c>
      <c r="I17" s="4" t="b">
        <v>1</v>
      </c>
      <c r="J17" s="5" t="s">
        <v>244</v>
      </c>
      <c r="K17" s="5" t="s">
        <v>203</v>
      </c>
      <c r="L17" s="5" t="s">
        <v>22</v>
      </c>
      <c r="M17" s="5" t="s">
        <v>243</v>
      </c>
      <c r="N17" s="2" t="s">
        <v>15</v>
      </c>
      <c r="O17" s="2" t="s">
        <v>401</v>
      </c>
      <c r="P17" s="2">
        <v>70556</v>
      </c>
      <c r="Q17" s="2" t="s">
        <v>402</v>
      </c>
      <c r="R17" s="2">
        <v>1749</v>
      </c>
      <c r="S17" s="2">
        <v>929</v>
      </c>
      <c r="T17" s="2">
        <v>929</v>
      </c>
      <c r="U17" s="2">
        <v>33</v>
      </c>
      <c r="V17" s="2">
        <v>896</v>
      </c>
      <c r="W17" s="2">
        <v>415</v>
      </c>
      <c r="X17" s="2">
        <v>140</v>
      </c>
      <c r="Y17" s="2">
        <v>0</v>
      </c>
      <c r="Z17" s="2">
        <v>22</v>
      </c>
      <c r="AA17" s="2">
        <v>74</v>
      </c>
      <c r="AB17" s="2">
        <v>42</v>
      </c>
      <c r="AC17" s="2">
        <v>44</v>
      </c>
      <c r="AD17" s="2">
        <v>3</v>
      </c>
      <c r="AE17" s="2">
        <v>56</v>
      </c>
      <c r="AF17" s="2">
        <v>31</v>
      </c>
      <c r="AG17" s="2">
        <v>37</v>
      </c>
      <c r="AH17" s="2">
        <v>2</v>
      </c>
      <c r="AI17" s="2">
        <v>1</v>
      </c>
      <c r="AJ17" s="2">
        <v>14</v>
      </c>
      <c r="AK17" s="2">
        <v>0</v>
      </c>
      <c r="AL17" s="2">
        <v>1</v>
      </c>
      <c r="AM17" s="2">
        <v>5</v>
      </c>
      <c r="AN17" s="2">
        <v>7</v>
      </c>
      <c r="AO17" s="2">
        <v>2</v>
      </c>
      <c r="AP17" s="2">
        <v>1749</v>
      </c>
      <c r="AQ17" s="2">
        <v>929</v>
      </c>
      <c r="AR17" s="2">
        <v>929</v>
      </c>
      <c r="AS17" s="2">
        <v>24</v>
      </c>
      <c r="AT17" s="2">
        <v>905</v>
      </c>
      <c r="AU17" s="2">
        <v>10</v>
      </c>
      <c r="AV17" s="2">
        <v>32</v>
      </c>
      <c r="AW17" s="2">
        <v>26</v>
      </c>
      <c r="AX17" s="2">
        <v>120</v>
      </c>
      <c r="AY17" s="2">
        <v>47</v>
      </c>
      <c r="AZ17" s="2">
        <v>575</v>
      </c>
      <c r="BA17" s="2">
        <v>36</v>
      </c>
      <c r="BB17" s="2">
        <v>59</v>
      </c>
      <c r="BC17" s="11" t="s">
        <v>15</v>
      </c>
      <c r="BD17" s="11" t="s">
        <v>425</v>
      </c>
      <c r="BE17" s="11">
        <v>70556</v>
      </c>
      <c r="BF17" s="11" t="s">
        <v>402</v>
      </c>
      <c r="BG17" s="11">
        <v>15</v>
      </c>
      <c r="BH17" s="11">
        <v>1736</v>
      </c>
      <c r="BI17" s="11">
        <v>890</v>
      </c>
      <c r="BJ17" s="11">
        <v>890</v>
      </c>
      <c r="BK17" s="11">
        <v>25</v>
      </c>
      <c r="BL17" s="11">
        <v>865</v>
      </c>
      <c r="BM17" s="11">
        <v>463</v>
      </c>
      <c r="BN17" s="11">
        <v>60</v>
      </c>
      <c r="BO17" s="11">
        <v>13</v>
      </c>
      <c r="BP17" s="11">
        <v>24</v>
      </c>
      <c r="BQ17" s="11">
        <v>57</v>
      </c>
      <c r="BR17" s="11">
        <v>0</v>
      </c>
      <c r="BS17" s="11">
        <v>168</v>
      </c>
      <c r="BT17" s="11">
        <v>1</v>
      </c>
      <c r="BU17" s="11">
        <v>0</v>
      </c>
      <c r="BV17" s="11">
        <v>1</v>
      </c>
      <c r="BW17" s="11">
        <v>5</v>
      </c>
      <c r="BX17" s="11">
        <v>19</v>
      </c>
      <c r="BY17" s="11">
        <v>0</v>
      </c>
      <c r="BZ17" s="11">
        <v>49</v>
      </c>
      <c r="CA17" s="11">
        <v>2</v>
      </c>
      <c r="CB17" s="11">
        <v>0</v>
      </c>
      <c r="CC17" s="11">
        <v>3</v>
      </c>
      <c r="CD17" s="11">
        <v>0</v>
      </c>
      <c r="CE17">
        <v>536</v>
      </c>
      <c r="CF17">
        <v>86</v>
      </c>
      <c r="CG17">
        <v>192</v>
      </c>
      <c r="CH17">
        <v>49</v>
      </c>
      <c r="CI17">
        <v>2</v>
      </c>
      <c r="CJ17" s="14">
        <v>0.51267281105990781</v>
      </c>
      <c r="CK17" s="14">
        <v>0.60224719101123592</v>
      </c>
      <c r="CL17" s="14">
        <v>9.662921348314607E-2</v>
      </c>
      <c r="CM17" s="14">
        <v>0.21573033707865169</v>
      </c>
      <c r="CN17" s="14">
        <v>5.5056179775280899E-2</v>
      </c>
      <c r="CO17" s="14">
        <v>2.2471910112359553E-3</v>
      </c>
      <c r="CP17" s="30">
        <v>6</v>
      </c>
      <c r="CQ17" s="15">
        <v>577</v>
      </c>
      <c r="CR17">
        <v>154</v>
      </c>
      <c r="CS17">
        <v>151</v>
      </c>
      <c r="CU17">
        <v>14</v>
      </c>
      <c r="CV17" s="14">
        <v>0.53116066323613498</v>
      </c>
      <c r="CW17" s="14">
        <v>0.62109795479009688</v>
      </c>
      <c r="CX17" s="14">
        <v>0.16576964477933262</v>
      </c>
      <c r="CY17" s="14">
        <v>0.16254036598493002</v>
      </c>
      <c r="CZ17" s="14">
        <v>0</v>
      </c>
      <c r="DA17" s="14">
        <v>1.5069967707212056E-2</v>
      </c>
      <c r="DB17" s="30">
        <v>6</v>
      </c>
      <c r="DC17" s="14" t="s">
        <v>482</v>
      </c>
      <c r="DD17" s="17" t="s">
        <v>438</v>
      </c>
      <c r="DE17" s="17" t="s">
        <v>438</v>
      </c>
      <c r="DF17" s="17" t="s">
        <v>451</v>
      </c>
      <c r="DG17" s="21">
        <v>628.25</v>
      </c>
      <c r="DH17" s="22">
        <v>1736</v>
      </c>
      <c r="DI17" s="16">
        <v>1</v>
      </c>
      <c r="DJ17" s="16">
        <v>890</v>
      </c>
      <c r="DK17" s="23">
        <v>0.51267281105990781</v>
      </c>
      <c r="DL17" s="16">
        <v>1</v>
      </c>
      <c r="DM17">
        <v>6</v>
      </c>
      <c r="DN17" s="24"/>
      <c r="DO17" s="25"/>
      <c r="DP17" s="25"/>
      <c r="DQ17" s="27"/>
      <c r="DR17" s="26"/>
    </row>
    <row r="18" spans="1:122" ht="14.25" customHeight="1">
      <c r="A18" s="2">
        <v>4976</v>
      </c>
      <c r="B18" s="3" t="s">
        <v>197</v>
      </c>
      <c r="C18" s="3" t="s">
        <v>203</v>
      </c>
      <c r="D18" s="4">
        <v>16</v>
      </c>
      <c r="E18" s="3" t="s">
        <v>22</v>
      </c>
      <c r="F18" s="3" t="s">
        <v>243</v>
      </c>
      <c r="G18" s="4" t="s">
        <v>245</v>
      </c>
      <c r="H18" s="4" t="b">
        <v>1</v>
      </c>
      <c r="I18" s="4" t="b">
        <v>1</v>
      </c>
      <c r="J18" s="5" t="s">
        <v>245</v>
      </c>
      <c r="K18" s="5" t="s">
        <v>203</v>
      </c>
      <c r="L18" s="5" t="s">
        <v>22</v>
      </c>
      <c r="M18" s="5" t="s">
        <v>243</v>
      </c>
      <c r="N18" s="2" t="s">
        <v>15</v>
      </c>
      <c r="O18" s="2" t="s">
        <v>401</v>
      </c>
      <c r="P18" s="2">
        <v>70556</v>
      </c>
      <c r="Q18" s="2" t="s">
        <v>402</v>
      </c>
      <c r="R18" s="2">
        <v>1861</v>
      </c>
      <c r="S18" s="2">
        <v>962</v>
      </c>
      <c r="T18" s="2">
        <v>961</v>
      </c>
      <c r="U18" s="2">
        <v>39</v>
      </c>
      <c r="V18" s="2">
        <v>922</v>
      </c>
      <c r="W18" s="2">
        <v>437</v>
      </c>
      <c r="X18" s="2">
        <v>124</v>
      </c>
      <c r="Y18" s="2">
        <v>1</v>
      </c>
      <c r="Z18" s="2">
        <v>22</v>
      </c>
      <c r="AA18" s="2">
        <v>100</v>
      </c>
      <c r="AB18" s="2">
        <v>45</v>
      </c>
      <c r="AC18" s="2">
        <v>50</v>
      </c>
      <c r="AD18" s="2">
        <v>1</v>
      </c>
      <c r="AE18" s="2">
        <v>45</v>
      </c>
      <c r="AF18" s="2">
        <v>23</v>
      </c>
      <c r="AG18" s="2">
        <v>41</v>
      </c>
      <c r="AH18" s="2">
        <v>3</v>
      </c>
      <c r="AI18" s="2">
        <v>0</v>
      </c>
      <c r="AJ18" s="2">
        <v>23</v>
      </c>
      <c r="AK18" s="2">
        <v>0</v>
      </c>
      <c r="AL18" s="2">
        <v>0</v>
      </c>
      <c r="AM18" s="2">
        <v>5</v>
      </c>
      <c r="AN18" s="2">
        <v>1</v>
      </c>
      <c r="AO18" s="2">
        <v>1</v>
      </c>
      <c r="AP18" s="2">
        <v>1861</v>
      </c>
      <c r="AQ18" s="2">
        <v>962</v>
      </c>
      <c r="AR18" s="2">
        <v>962</v>
      </c>
      <c r="AS18" s="2">
        <v>14</v>
      </c>
      <c r="AT18" s="2">
        <v>948</v>
      </c>
      <c r="AU18" s="2">
        <v>7</v>
      </c>
      <c r="AV18" s="2">
        <v>35</v>
      </c>
      <c r="AW18" s="2">
        <v>27</v>
      </c>
      <c r="AX18" s="2">
        <v>129</v>
      </c>
      <c r="AY18" s="2">
        <v>61</v>
      </c>
      <c r="AZ18" s="2">
        <v>593</v>
      </c>
      <c r="BA18" s="2">
        <v>50</v>
      </c>
      <c r="BB18" s="2">
        <v>46</v>
      </c>
      <c r="BC18" s="11" t="s">
        <v>15</v>
      </c>
      <c r="BD18" s="11" t="s">
        <v>425</v>
      </c>
      <c r="BE18" s="11">
        <v>70556</v>
      </c>
      <c r="BF18" s="11" t="s">
        <v>402</v>
      </c>
      <c r="BG18" s="11">
        <v>16</v>
      </c>
      <c r="BH18" s="11">
        <v>1842</v>
      </c>
      <c r="BI18" s="11">
        <v>905</v>
      </c>
      <c r="BJ18" s="11">
        <v>905</v>
      </c>
      <c r="BK18" s="11">
        <v>26</v>
      </c>
      <c r="BL18" s="11">
        <v>879</v>
      </c>
      <c r="BM18" s="11">
        <v>453</v>
      </c>
      <c r="BN18" s="11">
        <v>57</v>
      </c>
      <c r="BO18" s="11">
        <v>11</v>
      </c>
      <c r="BP18" s="11">
        <v>33</v>
      </c>
      <c r="BQ18" s="11">
        <v>32</v>
      </c>
      <c r="BR18" s="11">
        <v>0</v>
      </c>
      <c r="BS18" s="11">
        <v>203</v>
      </c>
      <c r="BT18" s="11">
        <v>0</v>
      </c>
      <c r="BU18" s="11">
        <v>1</v>
      </c>
      <c r="BV18" s="11">
        <v>1</v>
      </c>
      <c r="BW18" s="11">
        <v>8</v>
      </c>
      <c r="BX18" s="11">
        <v>23</v>
      </c>
      <c r="BY18" s="11">
        <v>0</v>
      </c>
      <c r="BZ18" s="11">
        <v>49</v>
      </c>
      <c r="CA18" s="11">
        <v>0</v>
      </c>
      <c r="CB18" s="11">
        <v>5</v>
      </c>
      <c r="CC18" s="11">
        <v>3</v>
      </c>
      <c r="CD18" s="11">
        <v>0</v>
      </c>
      <c r="CE18">
        <v>521</v>
      </c>
      <c r="CF18">
        <v>73</v>
      </c>
      <c r="CG18">
        <v>229</v>
      </c>
      <c r="CH18">
        <v>49</v>
      </c>
      <c r="CI18">
        <v>7</v>
      </c>
      <c r="CJ18" s="14">
        <v>0.49131378935939196</v>
      </c>
      <c r="CK18" s="14">
        <v>0.57569060773480663</v>
      </c>
      <c r="CL18" s="14">
        <v>8.0662983425414364E-2</v>
      </c>
      <c r="CM18" s="14">
        <v>0.25303867403314917</v>
      </c>
      <c r="CN18" s="14">
        <v>5.4143646408839778E-2</v>
      </c>
      <c r="CO18" s="14">
        <v>7.7348066298342545E-3</v>
      </c>
      <c r="CP18" s="30">
        <v>6</v>
      </c>
      <c r="CQ18" s="15">
        <v>583</v>
      </c>
      <c r="CR18">
        <v>159</v>
      </c>
      <c r="CS18">
        <v>176</v>
      </c>
      <c r="CU18">
        <v>4</v>
      </c>
      <c r="CV18" s="14">
        <v>0.51692638366469645</v>
      </c>
      <c r="CW18" s="14">
        <v>0.60602910602910598</v>
      </c>
      <c r="CX18" s="14">
        <v>0.16528066528066529</v>
      </c>
      <c r="CY18" s="14">
        <v>0.18295218295218296</v>
      </c>
      <c r="CZ18" s="14">
        <v>0</v>
      </c>
      <c r="DA18" s="14">
        <v>4.1580041580041582E-3</v>
      </c>
      <c r="DB18" s="30">
        <v>6</v>
      </c>
      <c r="DC18" s="14" t="s">
        <v>482</v>
      </c>
      <c r="DD18" s="17" t="s">
        <v>438</v>
      </c>
      <c r="DE18" s="17" t="s">
        <v>438</v>
      </c>
      <c r="DF18" s="17" t="s">
        <v>451</v>
      </c>
      <c r="DG18" s="21">
        <v>684.57999999999993</v>
      </c>
      <c r="DH18" s="22">
        <v>1842</v>
      </c>
      <c r="DI18" s="16">
        <v>1</v>
      </c>
      <c r="DJ18" s="16">
        <v>905</v>
      </c>
      <c r="DK18" s="23">
        <v>0.49131378935939196</v>
      </c>
      <c r="DL18" s="16">
        <v>1</v>
      </c>
      <c r="DM18">
        <v>6</v>
      </c>
      <c r="DN18" s="24"/>
      <c r="DO18" s="25"/>
      <c r="DP18" s="25"/>
      <c r="DQ18" s="27"/>
      <c r="DR18" s="26"/>
    </row>
    <row r="19" spans="1:122" ht="14.25" customHeight="1">
      <c r="A19" s="2">
        <v>4977</v>
      </c>
      <c r="B19" s="3" t="s">
        <v>197</v>
      </c>
      <c r="C19" s="3" t="s">
        <v>203</v>
      </c>
      <c r="D19" s="4">
        <v>17</v>
      </c>
      <c r="E19" s="3" t="s">
        <v>246</v>
      </c>
      <c r="F19" s="3" t="s">
        <v>247</v>
      </c>
      <c r="G19" s="4" t="s">
        <v>248</v>
      </c>
      <c r="H19" s="4" t="b">
        <v>1</v>
      </c>
      <c r="I19" s="4" t="b">
        <v>1</v>
      </c>
      <c r="J19" s="5" t="s">
        <v>248</v>
      </c>
      <c r="K19" s="5" t="s">
        <v>203</v>
      </c>
      <c r="L19" s="5" t="s">
        <v>246</v>
      </c>
      <c r="M19" s="5" t="s">
        <v>247</v>
      </c>
      <c r="N19" s="2" t="s">
        <v>15</v>
      </c>
      <c r="O19" s="2" t="s">
        <v>401</v>
      </c>
      <c r="P19" s="2">
        <v>70556</v>
      </c>
      <c r="Q19" s="2" t="s">
        <v>402</v>
      </c>
      <c r="R19" s="2">
        <v>891</v>
      </c>
      <c r="S19" s="2">
        <v>489</v>
      </c>
      <c r="T19" s="2">
        <v>489</v>
      </c>
      <c r="U19" s="2">
        <v>19</v>
      </c>
      <c r="V19" s="2">
        <v>470</v>
      </c>
      <c r="W19" s="2">
        <v>155</v>
      </c>
      <c r="X19" s="2">
        <v>64</v>
      </c>
      <c r="Y19" s="2">
        <v>0</v>
      </c>
      <c r="Z19" s="2">
        <v>15</v>
      </c>
      <c r="AA19" s="2">
        <v>83</v>
      </c>
      <c r="AB19" s="2">
        <v>42</v>
      </c>
      <c r="AC19" s="2">
        <v>12</v>
      </c>
      <c r="AD19" s="2">
        <v>0</v>
      </c>
      <c r="AE19" s="2">
        <v>34</v>
      </c>
      <c r="AF19" s="2">
        <v>19</v>
      </c>
      <c r="AG19" s="2">
        <v>24</v>
      </c>
      <c r="AH19" s="2">
        <v>1</v>
      </c>
      <c r="AI19" s="2">
        <v>0</v>
      </c>
      <c r="AJ19" s="2">
        <v>12</v>
      </c>
      <c r="AK19" s="2">
        <v>0</v>
      </c>
      <c r="AL19" s="2">
        <v>0</v>
      </c>
      <c r="AM19" s="2">
        <v>7</v>
      </c>
      <c r="AN19" s="2">
        <v>1</v>
      </c>
      <c r="AO19" s="2">
        <v>1</v>
      </c>
      <c r="AP19" s="2">
        <v>891</v>
      </c>
      <c r="AQ19" s="2">
        <v>489</v>
      </c>
      <c r="AR19" s="2">
        <v>489</v>
      </c>
      <c r="AS19" s="2">
        <v>9</v>
      </c>
      <c r="AT19" s="2">
        <v>480</v>
      </c>
      <c r="AU19" s="2">
        <v>4</v>
      </c>
      <c r="AV19" s="2">
        <v>24</v>
      </c>
      <c r="AW19" s="2">
        <v>14</v>
      </c>
      <c r="AX19" s="2">
        <v>118</v>
      </c>
      <c r="AY19" s="2">
        <v>15</v>
      </c>
      <c r="AZ19" s="2">
        <v>238</v>
      </c>
      <c r="BA19" s="2">
        <v>44</v>
      </c>
      <c r="BB19" s="2">
        <v>23</v>
      </c>
      <c r="BC19" s="11" t="s">
        <v>15</v>
      </c>
      <c r="BD19" s="11" t="s">
        <v>425</v>
      </c>
      <c r="BE19" s="11">
        <v>70556</v>
      </c>
      <c r="BF19" s="11" t="s">
        <v>402</v>
      </c>
      <c r="BG19" s="11">
        <v>17</v>
      </c>
      <c r="BH19" s="11">
        <v>868</v>
      </c>
      <c r="BI19" s="11">
        <v>496</v>
      </c>
      <c r="BJ19" s="11">
        <v>496</v>
      </c>
      <c r="BK19" s="11">
        <v>14</v>
      </c>
      <c r="BL19" s="11">
        <v>482</v>
      </c>
      <c r="BM19" s="11">
        <v>163</v>
      </c>
      <c r="BN19" s="11">
        <v>34</v>
      </c>
      <c r="BO19" s="11">
        <v>6</v>
      </c>
      <c r="BP19" s="11">
        <v>13</v>
      </c>
      <c r="BQ19" s="11">
        <v>33</v>
      </c>
      <c r="BR19" s="11">
        <v>0</v>
      </c>
      <c r="BS19" s="11">
        <v>164</v>
      </c>
      <c r="BT19" s="11">
        <v>1</v>
      </c>
      <c r="BU19" s="11">
        <v>1</v>
      </c>
      <c r="BV19" s="11">
        <v>2</v>
      </c>
      <c r="BW19" s="11">
        <v>8</v>
      </c>
      <c r="BX19" s="11">
        <v>14</v>
      </c>
      <c r="BY19" s="11">
        <v>1</v>
      </c>
      <c r="BZ19" s="11">
        <v>36</v>
      </c>
      <c r="CA19" s="11">
        <v>2</v>
      </c>
      <c r="CB19" s="11">
        <v>2</v>
      </c>
      <c r="CC19" s="11">
        <v>2</v>
      </c>
      <c r="CD19" s="11">
        <v>0</v>
      </c>
      <c r="CE19">
        <v>203</v>
      </c>
      <c r="CF19">
        <v>54</v>
      </c>
      <c r="CG19">
        <v>182</v>
      </c>
      <c r="CH19">
        <v>36</v>
      </c>
      <c r="CI19">
        <v>7</v>
      </c>
      <c r="CJ19" s="14">
        <v>0.5714285714285714</v>
      </c>
      <c r="CK19" s="14">
        <v>0.40927419354838712</v>
      </c>
      <c r="CL19" s="14">
        <v>0.10887096774193548</v>
      </c>
      <c r="CM19" s="14">
        <v>0.36693548387096775</v>
      </c>
      <c r="CN19" s="14">
        <v>7.2580645161290328E-2</v>
      </c>
      <c r="CO19" s="14">
        <v>1.4112903225806451E-2</v>
      </c>
      <c r="CP19" s="30">
        <v>1</v>
      </c>
      <c r="CQ19" s="15">
        <v>234</v>
      </c>
      <c r="CR19">
        <v>97</v>
      </c>
      <c r="CS19">
        <v>137</v>
      </c>
      <c r="CU19">
        <v>2</v>
      </c>
      <c r="CV19" s="14">
        <v>0.54882154882154888</v>
      </c>
      <c r="CW19" s="14">
        <v>0.4785276073619632</v>
      </c>
      <c r="CX19" s="14">
        <v>0.19836400817995911</v>
      </c>
      <c r="CY19" s="14">
        <v>0.28016359918200406</v>
      </c>
      <c r="CZ19" s="14">
        <v>0</v>
      </c>
      <c r="DA19" s="14">
        <v>4.0899795501022499E-3</v>
      </c>
      <c r="DB19" s="30">
        <v>2</v>
      </c>
      <c r="DC19" s="14" t="s">
        <v>481</v>
      </c>
      <c r="DD19" s="17" t="s">
        <v>433</v>
      </c>
      <c r="DE19" s="17" t="s">
        <v>434</v>
      </c>
      <c r="DF19" s="17" t="s">
        <v>454</v>
      </c>
      <c r="DG19" s="21">
        <v>386.21000000000004</v>
      </c>
      <c r="DH19" s="22">
        <v>868</v>
      </c>
      <c r="DI19" s="16">
        <v>1</v>
      </c>
      <c r="DJ19" s="16">
        <v>496</v>
      </c>
      <c r="DK19" s="23">
        <v>0.5714285714285714</v>
      </c>
      <c r="DL19" s="16">
        <v>1</v>
      </c>
      <c r="DM19">
        <v>2</v>
      </c>
      <c r="DN19" s="24"/>
      <c r="DO19" s="25"/>
      <c r="DP19" s="25"/>
      <c r="DQ19" s="27"/>
      <c r="DR19" s="26"/>
    </row>
    <row r="20" spans="1:122" ht="14.25" customHeight="1">
      <c r="A20" s="2">
        <v>4978</v>
      </c>
      <c r="B20" s="3" t="s">
        <v>197</v>
      </c>
      <c r="C20" s="3" t="s">
        <v>203</v>
      </c>
      <c r="D20" s="4">
        <v>18</v>
      </c>
      <c r="E20" s="3" t="s">
        <v>249</v>
      </c>
      <c r="F20" s="3" t="s">
        <v>250</v>
      </c>
      <c r="G20" s="4" t="s">
        <v>251</v>
      </c>
      <c r="H20" s="4" t="b">
        <v>1</v>
      </c>
      <c r="I20" s="4" t="b">
        <v>1</v>
      </c>
      <c r="J20" s="5" t="s">
        <v>251</v>
      </c>
      <c r="K20" s="5" t="s">
        <v>203</v>
      </c>
      <c r="L20" s="5" t="s">
        <v>249</v>
      </c>
      <c r="M20" s="5" t="s">
        <v>250</v>
      </c>
      <c r="N20" s="2" t="s">
        <v>15</v>
      </c>
      <c r="O20" s="2" t="s">
        <v>401</v>
      </c>
      <c r="P20" s="2">
        <v>70556</v>
      </c>
      <c r="Q20" s="2" t="s">
        <v>402</v>
      </c>
      <c r="R20" s="2">
        <v>1312</v>
      </c>
      <c r="S20" s="2">
        <v>683</v>
      </c>
      <c r="T20" s="2">
        <v>683</v>
      </c>
      <c r="U20" s="2">
        <v>13</v>
      </c>
      <c r="V20" s="2">
        <v>670</v>
      </c>
      <c r="W20" s="2">
        <v>245</v>
      </c>
      <c r="X20" s="2">
        <v>108</v>
      </c>
      <c r="Y20" s="2">
        <v>1</v>
      </c>
      <c r="Z20" s="2">
        <v>12</v>
      </c>
      <c r="AA20" s="2">
        <v>123</v>
      </c>
      <c r="AB20" s="2">
        <v>35</v>
      </c>
      <c r="AC20" s="2">
        <v>31</v>
      </c>
      <c r="AD20" s="2">
        <v>3</v>
      </c>
      <c r="AE20" s="2">
        <v>32</v>
      </c>
      <c r="AF20" s="2">
        <v>22</v>
      </c>
      <c r="AG20" s="2">
        <v>26</v>
      </c>
      <c r="AH20" s="2">
        <v>1</v>
      </c>
      <c r="AI20" s="2">
        <v>0</v>
      </c>
      <c r="AJ20" s="2">
        <v>16</v>
      </c>
      <c r="AK20" s="2">
        <v>1</v>
      </c>
      <c r="AL20" s="2">
        <v>1</v>
      </c>
      <c r="AM20" s="2">
        <v>9</v>
      </c>
      <c r="AN20" s="2">
        <v>1</v>
      </c>
      <c r="AO20" s="2">
        <v>3</v>
      </c>
      <c r="AP20" s="2">
        <v>1312</v>
      </c>
      <c r="AQ20" s="2">
        <v>683</v>
      </c>
      <c r="AR20" s="2">
        <v>683</v>
      </c>
      <c r="AS20" s="2">
        <v>17</v>
      </c>
      <c r="AT20" s="2">
        <v>666</v>
      </c>
      <c r="AU20" s="2">
        <v>9</v>
      </c>
      <c r="AV20" s="2">
        <v>22</v>
      </c>
      <c r="AW20" s="2">
        <v>28</v>
      </c>
      <c r="AX20" s="2">
        <v>157</v>
      </c>
      <c r="AY20" s="2">
        <v>44</v>
      </c>
      <c r="AZ20" s="2">
        <v>344</v>
      </c>
      <c r="BA20" s="2">
        <v>41</v>
      </c>
      <c r="BB20" s="2">
        <v>21</v>
      </c>
      <c r="BC20" s="11" t="s">
        <v>15</v>
      </c>
      <c r="BD20" s="11" t="s">
        <v>425</v>
      </c>
      <c r="BE20" s="11">
        <v>70556</v>
      </c>
      <c r="BF20" s="11" t="s">
        <v>402</v>
      </c>
      <c r="BG20" s="11">
        <v>18</v>
      </c>
      <c r="BH20" s="11">
        <v>1305</v>
      </c>
      <c r="BI20" s="11">
        <v>718</v>
      </c>
      <c r="BJ20" s="11">
        <v>718</v>
      </c>
      <c r="BK20" s="11">
        <v>19</v>
      </c>
      <c r="BL20" s="11">
        <v>699</v>
      </c>
      <c r="BM20" s="11">
        <v>267</v>
      </c>
      <c r="BN20" s="11">
        <v>65</v>
      </c>
      <c r="BO20" s="11">
        <v>12</v>
      </c>
      <c r="BP20" s="11">
        <v>24</v>
      </c>
      <c r="BQ20" s="11">
        <v>28</v>
      </c>
      <c r="BR20" s="11">
        <v>2</v>
      </c>
      <c r="BS20" s="11">
        <v>245</v>
      </c>
      <c r="BT20" s="11">
        <v>0</v>
      </c>
      <c r="BU20" s="11">
        <v>1</v>
      </c>
      <c r="BV20" s="11">
        <v>2</v>
      </c>
      <c r="BW20" s="11">
        <v>7</v>
      </c>
      <c r="BX20" s="11">
        <v>10</v>
      </c>
      <c r="BY20" s="11">
        <v>0</v>
      </c>
      <c r="BZ20" s="11">
        <v>32</v>
      </c>
      <c r="CA20" s="11">
        <v>1</v>
      </c>
      <c r="CB20" s="11">
        <v>1</v>
      </c>
      <c r="CC20" s="11">
        <v>1</v>
      </c>
      <c r="CD20" s="11">
        <v>1</v>
      </c>
      <c r="CE20">
        <v>344</v>
      </c>
      <c r="CF20">
        <v>59</v>
      </c>
      <c r="CG20">
        <v>257</v>
      </c>
      <c r="CH20">
        <v>32</v>
      </c>
      <c r="CI20">
        <v>7</v>
      </c>
      <c r="CJ20" s="14">
        <v>0.55019157088122606</v>
      </c>
      <c r="CK20" s="14">
        <v>0.47910863509749302</v>
      </c>
      <c r="CL20" s="14">
        <v>8.2172701949860719E-2</v>
      </c>
      <c r="CM20" s="14">
        <v>0.35793871866295263</v>
      </c>
      <c r="CN20" s="14">
        <v>4.456824512534819E-2</v>
      </c>
      <c r="CO20" s="14">
        <v>9.7493036211699167E-3</v>
      </c>
      <c r="CP20" s="30">
        <v>1</v>
      </c>
      <c r="CQ20" s="15">
        <v>365</v>
      </c>
      <c r="CR20">
        <v>114</v>
      </c>
      <c r="CS20">
        <v>181</v>
      </c>
      <c r="CU20">
        <v>10</v>
      </c>
      <c r="CV20" s="14">
        <v>0.52057926829268297</v>
      </c>
      <c r="CW20" s="14">
        <v>0.53440702781844807</v>
      </c>
      <c r="CX20" s="14">
        <v>0.16691068814055637</v>
      </c>
      <c r="CY20" s="14">
        <v>0.26500732064421667</v>
      </c>
      <c r="CZ20" s="14">
        <v>0</v>
      </c>
      <c r="DA20" s="14">
        <v>1.4641288433382138E-2</v>
      </c>
      <c r="DB20" s="30">
        <v>6</v>
      </c>
      <c r="DC20" s="14" t="s">
        <v>486</v>
      </c>
      <c r="DD20" s="17" t="s">
        <v>433</v>
      </c>
      <c r="DE20" s="17" t="s">
        <v>438</v>
      </c>
      <c r="DF20" s="17" t="s">
        <v>461</v>
      </c>
      <c r="DG20" s="21">
        <v>545.78</v>
      </c>
      <c r="DH20" s="22">
        <v>1305</v>
      </c>
      <c r="DI20" s="16">
        <v>1</v>
      </c>
      <c r="DJ20" s="16">
        <v>718</v>
      </c>
      <c r="DK20" s="23">
        <v>0.55019157088122606</v>
      </c>
      <c r="DL20" s="16">
        <v>1</v>
      </c>
      <c r="DM20">
        <v>2</v>
      </c>
      <c r="DN20" s="24"/>
      <c r="DO20" s="25"/>
      <c r="DP20" s="25"/>
      <c r="DQ20" s="27"/>
      <c r="DR20" s="26"/>
    </row>
    <row r="21" spans="1:122" ht="14.25" customHeight="1">
      <c r="A21" s="2">
        <v>4979</v>
      </c>
      <c r="B21" s="3" t="s">
        <v>197</v>
      </c>
      <c r="C21" s="3" t="s">
        <v>203</v>
      </c>
      <c r="D21" s="4">
        <v>19</v>
      </c>
      <c r="E21" s="3" t="s">
        <v>252</v>
      </c>
      <c r="F21" s="3" t="s">
        <v>253</v>
      </c>
      <c r="G21" s="4" t="s">
        <v>254</v>
      </c>
      <c r="H21" s="4" t="b">
        <v>1</v>
      </c>
      <c r="I21" s="4" t="b">
        <v>1</v>
      </c>
      <c r="J21" s="5" t="s">
        <v>254</v>
      </c>
      <c r="K21" s="5" t="s">
        <v>203</v>
      </c>
      <c r="L21" s="5" t="s">
        <v>252</v>
      </c>
      <c r="M21" s="5" t="s">
        <v>253</v>
      </c>
      <c r="N21" s="2" t="s">
        <v>15</v>
      </c>
      <c r="O21" s="2" t="s">
        <v>401</v>
      </c>
      <c r="P21" s="2">
        <v>70556</v>
      </c>
      <c r="Q21" s="2" t="s">
        <v>402</v>
      </c>
      <c r="R21" s="2">
        <v>1769</v>
      </c>
      <c r="S21" s="2">
        <v>868</v>
      </c>
      <c r="T21" s="2">
        <v>868</v>
      </c>
      <c r="U21" s="2">
        <v>20</v>
      </c>
      <c r="V21" s="2">
        <v>848</v>
      </c>
      <c r="W21" s="2">
        <v>344</v>
      </c>
      <c r="X21" s="2">
        <v>96</v>
      </c>
      <c r="Y21" s="2">
        <v>0</v>
      </c>
      <c r="Z21" s="2">
        <v>25</v>
      </c>
      <c r="AA21" s="2">
        <v>98</v>
      </c>
      <c r="AB21" s="2">
        <v>55</v>
      </c>
      <c r="AC21" s="2">
        <v>55</v>
      </c>
      <c r="AD21" s="2">
        <v>2</v>
      </c>
      <c r="AE21" s="2">
        <v>71</v>
      </c>
      <c r="AF21" s="2">
        <v>33</v>
      </c>
      <c r="AG21" s="2">
        <v>39</v>
      </c>
      <c r="AH21" s="2">
        <v>1</v>
      </c>
      <c r="AI21" s="2">
        <v>0</v>
      </c>
      <c r="AJ21" s="2">
        <v>12</v>
      </c>
      <c r="AK21" s="2">
        <v>1</v>
      </c>
      <c r="AL21" s="2">
        <v>1</v>
      </c>
      <c r="AM21" s="2">
        <v>5</v>
      </c>
      <c r="AN21" s="2">
        <v>3</v>
      </c>
      <c r="AO21" s="2">
        <v>7</v>
      </c>
      <c r="AP21" s="2">
        <v>1769</v>
      </c>
      <c r="AQ21" s="2">
        <v>868</v>
      </c>
      <c r="AR21" s="2">
        <v>867</v>
      </c>
      <c r="AS21" s="2">
        <v>13</v>
      </c>
      <c r="AT21" s="2">
        <v>854</v>
      </c>
      <c r="AU21" s="2">
        <v>9</v>
      </c>
      <c r="AV21" s="2">
        <v>40</v>
      </c>
      <c r="AW21" s="2">
        <v>17</v>
      </c>
      <c r="AX21" s="2">
        <v>148</v>
      </c>
      <c r="AY21" s="2">
        <v>66</v>
      </c>
      <c r="AZ21" s="2">
        <v>470</v>
      </c>
      <c r="BA21" s="2">
        <v>52</v>
      </c>
      <c r="BB21" s="2">
        <v>52</v>
      </c>
      <c r="BC21" s="11" t="s">
        <v>15</v>
      </c>
      <c r="BD21" s="11" t="s">
        <v>425</v>
      </c>
      <c r="BE21" s="11">
        <v>70556</v>
      </c>
      <c r="BF21" s="11" t="s">
        <v>402</v>
      </c>
      <c r="BG21" s="11">
        <v>19</v>
      </c>
      <c r="BH21" s="11">
        <v>1745</v>
      </c>
      <c r="BI21" s="11">
        <v>844</v>
      </c>
      <c r="BJ21" s="11">
        <v>844</v>
      </c>
      <c r="BK21" s="11">
        <v>18</v>
      </c>
      <c r="BL21" s="11">
        <v>826</v>
      </c>
      <c r="BM21" s="11">
        <v>376</v>
      </c>
      <c r="BN21" s="11">
        <v>55</v>
      </c>
      <c r="BO21" s="11">
        <v>12</v>
      </c>
      <c r="BP21" s="11">
        <v>35</v>
      </c>
      <c r="BQ21" s="11">
        <v>40</v>
      </c>
      <c r="BR21" s="11">
        <v>1</v>
      </c>
      <c r="BS21" s="11">
        <v>210</v>
      </c>
      <c r="BT21" s="11">
        <v>2</v>
      </c>
      <c r="BU21" s="11">
        <v>1</v>
      </c>
      <c r="BV21" s="11">
        <v>3</v>
      </c>
      <c r="BW21" s="11">
        <v>2</v>
      </c>
      <c r="BX21" s="11">
        <v>15</v>
      </c>
      <c r="BY21" s="11">
        <v>0</v>
      </c>
      <c r="BZ21" s="11">
        <v>65</v>
      </c>
      <c r="CA21" s="11">
        <v>0</v>
      </c>
      <c r="CB21" s="11">
        <v>3</v>
      </c>
      <c r="CC21" s="11">
        <v>5</v>
      </c>
      <c r="CD21" s="11">
        <v>1</v>
      </c>
      <c r="CE21">
        <v>443</v>
      </c>
      <c r="CF21">
        <v>77</v>
      </c>
      <c r="CG21">
        <v>230</v>
      </c>
      <c r="CH21">
        <v>65</v>
      </c>
      <c r="CI21">
        <v>11</v>
      </c>
      <c r="CJ21" s="14">
        <v>0.4836676217765043</v>
      </c>
      <c r="CK21" s="14">
        <v>0.52488151658767768</v>
      </c>
      <c r="CL21" s="14">
        <v>9.1232227488151657E-2</v>
      </c>
      <c r="CM21" s="14">
        <v>0.27251184834123221</v>
      </c>
      <c r="CN21" s="14">
        <v>7.7014218009478677E-2</v>
      </c>
      <c r="CO21" s="14">
        <v>1.3033175355450236E-2</v>
      </c>
      <c r="CP21" s="30">
        <v>5</v>
      </c>
      <c r="CQ21" s="15">
        <v>465</v>
      </c>
      <c r="CR21">
        <v>182</v>
      </c>
      <c r="CS21">
        <v>187</v>
      </c>
      <c r="CU21">
        <v>14</v>
      </c>
      <c r="CV21" s="14">
        <v>0.4906726964386659</v>
      </c>
      <c r="CW21" s="14">
        <v>0.5357142857142857</v>
      </c>
      <c r="CX21" s="14">
        <v>0.20967741935483872</v>
      </c>
      <c r="CY21" s="14">
        <v>0.21543778801843319</v>
      </c>
      <c r="CZ21" s="14">
        <v>0</v>
      </c>
      <c r="DA21" s="14">
        <v>1.6129032258064516E-2</v>
      </c>
      <c r="DB21" s="30">
        <v>3</v>
      </c>
      <c r="DC21" s="14" t="s">
        <v>473</v>
      </c>
      <c r="DD21" s="17" t="s">
        <v>437</v>
      </c>
      <c r="DE21" s="17" t="s">
        <v>435</v>
      </c>
      <c r="DF21" s="17" t="s">
        <v>457</v>
      </c>
      <c r="DG21" s="21">
        <v>680.17000000000007</v>
      </c>
      <c r="DH21" s="22">
        <v>1745</v>
      </c>
      <c r="DI21" s="16">
        <v>1</v>
      </c>
      <c r="DJ21" s="16">
        <v>844</v>
      </c>
      <c r="DK21" s="23">
        <v>0.4836676217765043</v>
      </c>
      <c r="DL21" s="16">
        <v>1</v>
      </c>
      <c r="DM21">
        <v>5</v>
      </c>
      <c r="DN21" s="24"/>
      <c r="DO21" s="25"/>
      <c r="DP21" s="25"/>
      <c r="DQ21" s="27"/>
      <c r="DR21" s="26"/>
    </row>
    <row r="22" spans="1:122" ht="14.25" customHeight="1">
      <c r="A22" s="2">
        <v>4980</v>
      </c>
      <c r="B22" s="3" t="s">
        <v>197</v>
      </c>
      <c r="C22" s="3" t="s">
        <v>203</v>
      </c>
      <c r="D22" s="4">
        <v>20</v>
      </c>
      <c r="E22" s="3" t="s">
        <v>255</v>
      </c>
      <c r="F22" s="3" t="s">
        <v>256</v>
      </c>
      <c r="G22" s="4" t="s">
        <v>257</v>
      </c>
      <c r="H22" s="4" t="b">
        <v>1</v>
      </c>
      <c r="I22" s="4" t="b">
        <v>1</v>
      </c>
      <c r="J22" s="5" t="s">
        <v>257</v>
      </c>
      <c r="K22" s="5" t="s">
        <v>203</v>
      </c>
      <c r="L22" s="5" t="s">
        <v>255</v>
      </c>
      <c r="M22" s="5" t="s">
        <v>256</v>
      </c>
      <c r="N22" s="2" t="s">
        <v>15</v>
      </c>
      <c r="O22" s="2" t="s">
        <v>401</v>
      </c>
      <c r="P22" s="2">
        <v>70556</v>
      </c>
      <c r="Q22" s="2" t="s">
        <v>402</v>
      </c>
      <c r="R22" s="2">
        <v>1586</v>
      </c>
      <c r="S22" s="2">
        <v>858</v>
      </c>
      <c r="T22" s="2">
        <v>858</v>
      </c>
      <c r="U22" s="2">
        <v>31</v>
      </c>
      <c r="V22" s="2">
        <v>827</v>
      </c>
      <c r="W22" s="2">
        <v>399</v>
      </c>
      <c r="X22" s="2">
        <v>105</v>
      </c>
      <c r="Y22" s="2">
        <v>2</v>
      </c>
      <c r="Z22" s="2">
        <v>16</v>
      </c>
      <c r="AA22" s="2">
        <v>71</v>
      </c>
      <c r="AB22" s="2">
        <v>42</v>
      </c>
      <c r="AC22" s="2">
        <v>61</v>
      </c>
      <c r="AD22" s="2">
        <v>2</v>
      </c>
      <c r="AE22" s="2">
        <v>38</v>
      </c>
      <c r="AF22" s="2">
        <v>25</v>
      </c>
      <c r="AG22" s="2">
        <v>30</v>
      </c>
      <c r="AH22" s="2">
        <v>0</v>
      </c>
      <c r="AI22" s="2">
        <v>1</v>
      </c>
      <c r="AJ22" s="2">
        <v>10</v>
      </c>
      <c r="AK22" s="2">
        <v>0</v>
      </c>
      <c r="AL22" s="2">
        <v>0</v>
      </c>
      <c r="AM22" s="2">
        <v>19</v>
      </c>
      <c r="AN22" s="2">
        <v>4</v>
      </c>
      <c r="AO22" s="2">
        <v>2</v>
      </c>
      <c r="AP22" s="2">
        <v>1586</v>
      </c>
      <c r="AQ22" s="2">
        <v>858</v>
      </c>
      <c r="AR22" s="2">
        <v>858</v>
      </c>
      <c r="AS22" s="2">
        <v>20</v>
      </c>
      <c r="AT22" s="2">
        <v>838</v>
      </c>
      <c r="AU22" s="2">
        <v>15</v>
      </c>
      <c r="AV22" s="2">
        <v>25</v>
      </c>
      <c r="AW22" s="2">
        <v>26</v>
      </c>
      <c r="AX22" s="2">
        <v>103</v>
      </c>
      <c r="AY22" s="2">
        <v>64</v>
      </c>
      <c r="AZ22" s="2">
        <v>512</v>
      </c>
      <c r="BA22" s="2">
        <v>50</v>
      </c>
      <c r="BB22" s="2">
        <v>43</v>
      </c>
      <c r="BC22" s="11" t="s">
        <v>15</v>
      </c>
      <c r="BD22" s="11" t="s">
        <v>425</v>
      </c>
      <c r="BE22" s="11">
        <v>70556</v>
      </c>
      <c r="BF22" s="11" t="s">
        <v>402</v>
      </c>
      <c r="BG22" s="11">
        <v>20</v>
      </c>
      <c r="BH22" s="11">
        <v>1593</v>
      </c>
      <c r="BI22" s="11">
        <v>854</v>
      </c>
      <c r="BJ22" s="11">
        <v>854</v>
      </c>
      <c r="BK22" s="11">
        <v>21</v>
      </c>
      <c r="BL22" s="11">
        <v>833</v>
      </c>
      <c r="BM22" s="11">
        <v>429</v>
      </c>
      <c r="BN22" s="11">
        <v>54</v>
      </c>
      <c r="BO22" s="11">
        <v>10</v>
      </c>
      <c r="BP22" s="11">
        <v>41</v>
      </c>
      <c r="BQ22" s="11">
        <v>46</v>
      </c>
      <c r="BR22" s="11">
        <v>2</v>
      </c>
      <c r="BS22" s="11">
        <v>174</v>
      </c>
      <c r="BT22" s="11">
        <v>1</v>
      </c>
      <c r="BU22" s="11">
        <v>0</v>
      </c>
      <c r="BV22" s="11">
        <v>3</v>
      </c>
      <c r="BW22" s="11">
        <v>5</v>
      </c>
      <c r="BX22" s="11">
        <v>19</v>
      </c>
      <c r="BY22" s="11">
        <v>0</v>
      </c>
      <c r="BZ22" s="11">
        <v>38</v>
      </c>
      <c r="CA22" s="11">
        <v>2</v>
      </c>
      <c r="CB22" s="11">
        <v>4</v>
      </c>
      <c r="CC22" s="11">
        <v>5</v>
      </c>
      <c r="CD22" s="11">
        <v>0</v>
      </c>
      <c r="CE22">
        <v>493</v>
      </c>
      <c r="CF22">
        <v>92</v>
      </c>
      <c r="CG22">
        <v>200</v>
      </c>
      <c r="CH22">
        <v>38</v>
      </c>
      <c r="CI22">
        <v>10</v>
      </c>
      <c r="CJ22" s="14">
        <v>0.5360954174513497</v>
      </c>
      <c r="CK22" s="14">
        <v>0.57728337236533955</v>
      </c>
      <c r="CL22" s="14">
        <v>0.10772833723653395</v>
      </c>
      <c r="CM22" s="14">
        <v>0.23419203747072601</v>
      </c>
      <c r="CN22" s="14">
        <v>4.449648711943794E-2</v>
      </c>
      <c r="CO22" s="14">
        <v>1.1709601873536301E-2</v>
      </c>
      <c r="CP22" s="30">
        <v>6</v>
      </c>
      <c r="CQ22" s="15">
        <v>520</v>
      </c>
      <c r="CR22">
        <v>158</v>
      </c>
      <c r="CS22">
        <v>138</v>
      </c>
      <c r="CU22">
        <v>11</v>
      </c>
      <c r="CV22" s="14">
        <v>0.54098360655737709</v>
      </c>
      <c r="CW22" s="14">
        <v>0.60606060606060608</v>
      </c>
      <c r="CX22" s="14">
        <v>0.18414918414918416</v>
      </c>
      <c r="CY22" s="14">
        <v>0.16083916083916083</v>
      </c>
      <c r="CZ22" s="14">
        <v>0</v>
      </c>
      <c r="DA22" s="14">
        <v>1.282051282051282E-2</v>
      </c>
      <c r="DB22" s="30">
        <v>3</v>
      </c>
      <c r="DC22" s="14" t="s">
        <v>475</v>
      </c>
      <c r="DD22" s="17" t="s">
        <v>438</v>
      </c>
      <c r="DE22" s="17" t="s">
        <v>435</v>
      </c>
      <c r="DF22" s="17" t="s">
        <v>440</v>
      </c>
      <c r="DG22" s="21">
        <v>581.31000000000006</v>
      </c>
      <c r="DH22" s="22">
        <v>1593</v>
      </c>
      <c r="DI22" s="16">
        <v>1</v>
      </c>
      <c r="DJ22" s="16">
        <v>854</v>
      </c>
      <c r="DK22" s="23">
        <v>0.5360954174513497</v>
      </c>
      <c r="DL22" s="16">
        <v>1</v>
      </c>
      <c r="DM22">
        <v>6</v>
      </c>
      <c r="DN22" s="24"/>
      <c r="DO22" s="25"/>
      <c r="DP22" s="25"/>
      <c r="DQ22" s="27"/>
      <c r="DR22" s="26"/>
    </row>
    <row r="23" spans="1:122" ht="14.25" customHeight="1">
      <c r="A23" s="2">
        <v>4981</v>
      </c>
      <c r="B23" s="3" t="s">
        <v>197</v>
      </c>
      <c r="C23" s="3" t="s">
        <v>203</v>
      </c>
      <c r="D23" s="4">
        <v>21</v>
      </c>
      <c r="E23" s="3" t="s">
        <v>258</v>
      </c>
      <c r="F23" s="3" t="s">
        <v>256</v>
      </c>
      <c r="G23" s="4" t="s">
        <v>259</v>
      </c>
      <c r="H23" s="4" t="b">
        <v>1</v>
      </c>
      <c r="I23" s="4" t="b">
        <v>1</v>
      </c>
      <c r="J23" s="5" t="s">
        <v>259</v>
      </c>
      <c r="K23" s="5" t="s">
        <v>203</v>
      </c>
      <c r="L23" s="5" t="s">
        <v>258</v>
      </c>
      <c r="M23" s="5" t="s">
        <v>256</v>
      </c>
      <c r="N23" s="2" t="s">
        <v>15</v>
      </c>
      <c r="O23" s="2" t="s">
        <v>401</v>
      </c>
      <c r="P23" s="2">
        <v>70556</v>
      </c>
      <c r="Q23" s="2" t="s">
        <v>402</v>
      </c>
      <c r="R23" s="2">
        <v>1817</v>
      </c>
      <c r="S23" s="2">
        <v>933</v>
      </c>
      <c r="T23" s="2">
        <v>933</v>
      </c>
      <c r="U23" s="2">
        <v>29</v>
      </c>
      <c r="V23" s="2">
        <v>904</v>
      </c>
      <c r="W23" s="2">
        <v>466</v>
      </c>
      <c r="X23" s="2">
        <v>122</v>
      </c>
      <c r="Y23" s="2">
        <v>0</v>
      </c>
      <c r="Z23" s="2">
        <v>23</v>
      </c>
      <c r="AA23" s="2">
        <v>68</v>
      </c>
      <c r="AB23" s="2">
        <v>42</v>
      </c>
      <c r="AC23" s="2">
        <v>52</v>
      </c>
      <c r="AD23" s="2">
        <v>1</v>
      </c>
      <c r="AE23" s="2">
        <v>35</v>
      </c>
      <c r="AF23" s="2">
        <v>33</v>
      </c>
      <c r="AG23" s="2">
        <v>30</v>
      </c>
      <c r="AH23" s="2">
        <v>1</v>
      </c>
      <c r="AI23" s="2">
        <v>0</v>
      </c>
      <c r="AJ23" s="2">
        <v>13</v>
      </c>
      <c r="AK23" s="2">
        <v>0</v>
      </c>
      <c r="AL23" s="2">
        <v>0</v>
      </c>
      <c r="AM23" s="2">
        <v>9</v>
      </c>
      <c r="AN23" s="2">
        <v>2</v>
      </c>
      <c r="AO23" s="2">
        <v>7</v>
      </c>
      <c r="AP23" s="2">
        <v>1817</v>
      </c>
      <c r="AQ23" s="2">
        <v>933</v>
      </c>
      <c r="AR23" s="2">
        <v>933</v>
      </c>
      <c r="AS23" s="2">
        <v>16</v>
      </c>
      <c r="AT23" s="2">
        <v>917</v>
      </c>
      <c r="AU23" s="2">
        <v>15</v>
      </c>
      <c r="AV23" s="2">
        <v>30</v>
      </c>
      <c r="AW23" s="2">
        <v>24</v>
      </c>
      <c r="AX23" s="2">
        <v>105</v>
      </c>
      <c r="AY23" s="2">
        <v>56</v>
      </c>
      <c r="AZ23" s="2">
        <v>599</v>
      </c>
      <c r="BA23" s="2">
        <v>38</v>
      </c>
      <c r="BB23" s="2">
        <v>50</v>
      </c>
      <c r="BC23" s="11" t="s">
        <v>15</v>
      </c>
      <c r="BD23" s="11" t="s">
        <v>425</v>
      </c>
      <c r="BE23" s="11">
        <v>70556</v>
      </c>
      <c r="BF23" s="11" t="s">
        <v>402</v>
      </c>
      <c r="BG23" s="11">
        <v>21</v>
      </c>
      <c r="BH23" s="11">
        <v>1835</v>
      </c>
      <c r="BI23" s="11">
        <v>929</v>
      </c>
      <c r="BJ23" s="11">
        <v>928</v>
      </c>
      <c r="BK23" s="11">
        <v>24</v>
      </c>
      <c r="BL23" s="11">
        <v>904</v>
      </c>
      <c r="BM23" s="11">
        <v>470</v>
      </c>
      <c r="BN23" s="11">
        <v>68</v>
      </c>
      <c r="BO23" s="11">
        <v>9</v>
      </c>
      <c r="BP23" s="11">
        <v>35</v>
      </c>
      <c r="BQ23" s="11">
        <v>41</v>
      </c>
      <c r="BR23" s="11">
        <v>0</v>
      </c>
      <c r="BS23" s="11">
        <v>198</v>
      </c>
      <c r="BT23" s="11">
        <v>1</v>
      </c>
      <c r="BU23" s="11">
        <v>0</v>
      </c>
      <c r="BV23" s="11">
        <v>1</v>
      </c>
      <c r="BW23" s="11">
        <v>4</v>
      </c>
      <c r="BX23" s="11">
        <v>22</v>
      </c>
      <c r="BY23" s="11">
        <v>0</v>
      </c>
      <c r="BZ23" s="11">
        <v>43</v>
      </c>
      <c r="CA23" s="11">
        <v>1</v>
      </c>
      <c r="CB23" s="11">
        <v>6</v>
      </c>
      <c r="CC23" s="11">
        <v>4</v>
      </c>
      <c r="CD23" s="11">
        <v>1</v>
      </c>
      <c r="CE23">
        <v>547</v>
      </c>
      <c r="CF23">
        <v>80</v>
      </c>
      <c r="CG23">
        <v>225</v>
      </c>
      <c r="CH23">
        <v>43</v>
      </c>
      <c r="CI23">
        <v>9</v>
      </c>
      <c r="CJ23" s="14">
        <v>0.50626702997275208</v>
      </c>
      <c r="CK23" s="14">
        <v>0.58880516684607109</v>
      </c>
      <c r="CL23" s="14">
        <v>8.6114101184068897E-2</v>
      </c>
      <c r="CM23" s="14">
        <v>0.24219590958019377</v>
      </c>
      <c r="CN23" s="14">
        <v>4.6286329386437029E-2</v>
      </c>
      <c r="CO23" s="14">
        <v>9.6878363832077503E-3</v>
      </c>
      <c r="CP23" s="30">
        <v>6</v>
      </c>
      <c r="CQ23" s="15">
        <v>611</v>
      </c>
      <c r="CR23">
        <v>157</v>
      </c>
      <c r="CS23">
        <v>126</v>
      </c>
      <c r="CU23">
        <v>10</v>
      </c>
      <c r="CV23" s="14">
        <v>0.51348376444689048</v>
      </c>
      <c r="CW23" s="14">
        <v>0.65487674169346199</v>
      </c>
      <c r="CX23" s="14">
        <v>0.16827438370846731</v>
      </c>
      <c r="CY23" s="14">
        <v>0.13504823151125403</v>
      </c>
      <c r="CZ23" s="14">
        <v>0</v>
      </c>
      <c r="DA23" s="14">
        <v>1.0718113612004287E-2</v>
      </c>
      <c r="DB23" s="30">
        <v>6</v>
      </c>
      <c r="DC23" s="14" t="s">
        <v>482</v>
      </c>
      <c r="DD23" s="17" t="s">
        <v>438</v>
      </c>
      <c r="DE23" s="17" t="s">
        <v>438</v>
      </c>
      <c r="DF23" s="17" t="s">
        <v>451</v>
      </c>
      <c r="DG23" s="21">
        <v>671.1</v>
      </c>
      <c r="DH23" s="22">
        <v>1835</v>
      </c>
      <c r="DI23" s="16">
        <v>1</v>
      </c>
      <c r="DJ23" s="16">
        <v>928</v>
      </c>
      <c r="DK23" s="23">
        <v>0.50572207084468668</v>
      </c>
      <c r="DL23" s="16">
        <v>1</v>
      </c>
      <c r="DM23">
        <v>6</v>
      </c>
      <c r="DN23" s="24"/>
      <c r="DO23" s="25"/>
      <c r="DP23" s="25"/>
      <c r="DQ23" s="27"/>
      <c r="DR23" s="26"/>
    </row>
    <row r="24" spans="1:122" ht="14.25" customHeight="1">
      <c r="A24" s="2">
        <v>4982</v>
      </c>
      <c r="B24" s="3" t="s">
        <v>197</v>
      </c>
      <c r="C24" s="3" t="s">
        <v>203</v>
      </c>
      <c r="D24" s="4">
        <v>22</v>
      </c>
      <c r="E24" s="3" t="s">
        <v>260</v>
      </c>
      <c r="F24" s="3" t="s">
        <v>261</v>
      </c>
      <c r="G24" s="4" t="s">
        <v>262</v>
      </c>
      <c r="H24" s="4" t="b">
        <v>1</v>
      </c>
      <c r="I24" s="4" t="b">
        <v>1</v>
      </c>
      <c r="J24" s="5" t="s">
        <v>262</v>
      </c>
      <c r="K24" s="5" t="s">
        <v>203</v>
      </c>
      <c r="L24" s="5" t="s">
        <v>260</v>
      </c>
      <c r="M24" s="5" t="s">
        <v>261</v>
      </c>
      <c r="N24" s="2" t="s">
        <v>15</v>
      </c>
      <c r="O24" s="2" t="s">
        <v>401</v>
      </c>
      <c r="P24" s="2">
        <v>70556</v>
      </c>
      <c r="Q24" s="2" t="s">
        <v>402</v>
      </c>
      <c r="R24" s="2">
        <v>1439</v>
      </c>
      <c r="S24" s="2">
        <v>716</v>
      </c>
      <c r="T24" s="2">
        <v>716</v>
      </c>
      <c r="U24" s="2">
        <v>32</v>
      </c>
      <c r="V24" s="2">
        <v>684</v>
      </c>
      <c r="W24" s="2">
        <v>351</v>
      </c>
      <c r="X24" s="2">
        <v>110</v>
      </c>
      <c r="Y24" s="2">
        <v>1</v>
      </c>
      <c r="Z24" s="2">
        <v>18</v>
      </c>
      <c r="AA24" s="2">
        <v>41</v>
      </c>
      <c r="AB24" s="2">
        <v>30</v>
      </c>
      <c r="AC24" s="2">
        <v>40</v>
      </c>
      <c r="AD24" s="2">
        <v>2</v>
      </c>
      <c r="AE24" s="2">
        <v>17</v>
      </c>
      <c r="AF24" s="2">
        <v>20</v>
      </c>
      <c r="AG24" s="2">
        <v>32</v>
      </c>
      <c r="AH24" s="2">
        <v>0</v>
      </c>
      <c r="AI24" s="2">
        <v>0</v>
      </c>
      <c r="AJ24" s="2">
        <v>16</v>
      </c>
      <c r="AK24" s="2">
        <v>0</v>
      </c>
      <c r="AL24" s="2">
        <v>0</v>
      </c>
      <c r="AM24" s="2">
        <v>2</v>
      </c>
      <c r="AN24" s="2">
        <v>4</v>
      </c>
      <c r="AO24" s="2">
        <v>0</v>
      </c>
      <c r="AP24" s="2">
        <v>1439</v>
      </c>
      <c r="AQ24" s="2">
        <v>716</v>
      </c>
      <c r="AR24" s="2">
        <v>716</v>
      </c>
      <c r="AS24" s="2">
        <v>8</v>
      </c>
      <c r="AT24" s="2">
        <v>708</v>
      </c>
      <c r="AU24" s="2">
        <v>11</v>
      </c>
      <c r="AV24" s="2">
        <v>19</v>
      </c>
      <c r="AW24" s="2">
        <v>23</v>
      </c>
      <c r="AX24" s="2">
        <v>48</v>
      </c>
      <c r="AY24" s="2">
        <v>36</v>
      </c>
      <c r="AZ24" s="2">
        <v>496</v>
      </c>
      <c r="BA24" s="2">
        <v>34</v>
      </c>
      <c r="BB24" s="2">
        <v>41</v>
      </c>
      <c r="BC24" s="11" t="s">
        <v>15</v>
      </c>
      <c r="BD24" s="11" t="s">
        <v>425</v>
      </c>
      <c r="BE24" s="11">
        <v>70556</v>
      </c>
      <c r="BF24" s="11" t="s">
        <v>402</v>
      </c>
      <c r="BG24" s="11">
        <v>22</v>
      </c>
      <c r="BH24" s="11">
        <v>1436</v>
      </c>
      <c r="BI24" s="11">
        <v>729</v>
      </c>
      <c r="BJ24" s="11">
        <v>729</v>
      </c>
      <c r="BK24" s="11">
        <v>25</v>
      </c>
      <c r="BL24" s="11">
        <v>704</v>
      </c>
      <c r="BM24" s="11">
        <v>414</v>
      </c>
      <c r="BN24" s="11">
        <v>47</v>
      </c>
      <c r="BO24" s="11">
        <v>9</v>
      </c>
      <c r="BP24" s="11">
        <v>30</v>
      </c>
      <c r="BQ24" s="11">
        <v>40</v>
      </c>
      <c r="BR24" s="11">
        <v>0</v>
      </c>
      <c r="BS24" s="11">
        <v>109</v>
      </c>
      <c r="BT24" s="11">
        <v>1</v>
      </c>
      <c r="BU24" s="11">
        <v>0</v>
      </c>
      <c r="BV24" s="11">
        <v>4</v>
      </c>
      <c r="BW24" s="11">
        <v>2</v>
      </c>
      <c r="BX24" s="11">
        <v>6</v>
      </c>
      <c r="BY24" s="11">
        <v>0</v>
      </c>
      <c r="BZ24" s="11">
        <v>34</v>
      </c>
      <c r="CA24" s="11">
        <v>2</v>
      </c>
      <c r="CB24" s="11">
        <v>4</v>
      </c>
      <c r="CC24" s="11">
        <v>0</v>
      </c>
      <c r="CD24" s="11">
        <v>2</v>
      </c>
      <c r="CE24">
        <v>470</v>
      </c>
      <c r="CF24">
        <v>72</v>
      </c>
      <c r="CG24">
        <v>117</v>
      </c>
      <c r="CH24">
        <v>34</v>
      </c>
      <c r="CI24">
        <v>11</v>
      </c>
      <c r="CJ24" s="14">
        <v>0.50766016713091922</v>
      </c>
      <c r="CK24" s="14">
        <v>0.644718792866941</v>
      </c>
      <c r="CL24" s="14">
        <v>9.8765432098765427E-2</v>
      </c>
      <c r="CM24" s="14">
        <v>0.16049382716049382</v>
      </c>
      <c r="CN24" s="14">
        <v>4.663923182441701E-2</v>
      </c>
      <c r="CO24" s="14">
        <v>1.5089163237311385E-2</v>
      </c>
      <c r="CP24" s="30">
        <v>6</v>
      </c>
      <c r="CQ24" s="15">
        <v>479</v>
      </c>
      <c r="CR24">
        <v>122</v>
      </c>
      <c r="CS24">
        <v>76</v>
      </c>
      <c r="CU24">
        <v>7</v>
      </c>
      <c r="CV24" s="14">
        <v>0.49756775538568448</v>
      </c>
      <c r="CW24" s="14">
        <v>0.66899441340782118</v>
      </c>
      <c r="CX24" s="14">
        <v>0.17039106145251395</v>
      </c>
      <c r="CY24" s="14">
        <v>0.10614525139664804</v>
      </c>
      <c r="CZ24" s="14">
        <v>0</v>
      </c>
      <c r="DA24" s="14">
        <v>9.7765363128491621E-3</v>
      </c>
      <c r="DB24" s="30">
        <v>6</v>
      </c>
      <c r="DC24" s="14" t="s">
        <v>482</v>
      </c>
      <c r="DD24" s="17" t="s">
        <v>438</v>
      </c>
      <c r="DE24" s="17" t="s">
        <v>438</v>
      </c>
      <c r="DF24" s="17" t="s">
        <v>451</v>
      </c>
      <c r="DG24" s="21">
        <v>477.3</v>
      </c>
      <c r="DH24" s="22">
        <v>1436</v>
      </c>
      <c r="DI24" s="16">
        <v>1</v>
      </c>
      <c r="DJ24" s="16">
        <v>729</v>
      </c>
      <c r="DK24" s="23">
        <v>0.50766016713091922</v>
      </c>
      <c r="DL24" s="16">
        <v>1</v>
      </c>
      <c r="DM24">
        <v>6</v>
      </c>
      <c r="DN24" s="24"/>
      <c r="DO24" s="25"/>
      <c r="DP24" s="25"/>
      <c r="DQ24" s="27"/>
      <c r="DR24" s="26"/>
    </row>
    <row r="25" spans="1:122" ht="14.25" customHeight="1">
      <c r="A25" s="2">
        <v>4983</v>
      </c>
      <c r="B25" s="3" t="s">
        <v>197</v>
      </c>
      <c r="C25" s="3" t="s">
        <v>203</v>
      </c>
      <c r="D25" s="4">
        <v>23</v>
      </c>
      <c r="E25" s="3" t="s">
        <v>260</v>
      </c>
      <c r="F25" s="3" t="s">
        <v>261</v>
      </c>
      <c r="G25" s="4" t="s">
        <v>263</v>
      </c>
      <c r="H25" s="4" t="b">
        <v>1</v>
      </c>
      <c r="I25" s="4" t="b">
        <v>1</v>
      </c>
      <c r="J25" s="5" t="s">
        <v>263</v>
      </c>
      <c r="K25" s="5" t="s">
        <v>203</v>
      </c>
      <c r="L25" s="5" t="s">
        <v>260</v>
      </c>
      <c r="M25" s="5" t="s">
        <v>261</v>
      </c>
      <c r="N25" s="2" t="s">
        <v>15</v>
      </c>
      <c r="O25" s="2" t="s">
        <v>401</v>
      </c>
      <c r="P25" s="2">
        <v>70556</v>
      </c>
      <c r="Q25" s="2" t="s">
        <v>402</v>
      </c>
      <c r="R25" s="2">
        <v>1447</v>
      </c>
      <c r="S25" s="2">
        <v>794</v>
      </c>
      <c r="T25" s="2">
        <v>794</v>
      </c>
      <c r="U25" s="2">
        <v>16</v>
      </c>
      <c r="V25" s="2">
        <v>778</v>
      </c>
      <c r="W25" s="2">
        <v>352</v>
      </c>
      <c r="X25" s="2">
        <v>126</v>
      </c>
      <c r="Y25" s="2">
        <v>1</v>
      </c>
      <c r="Z25" s="2">
        <v>19</v>
      </c>
      <c r="AA25" s="2">
        <v>76</v>
      </c>
      <c r="AB25" s="2">
        <v>41</v>
      </c>
      <c r="AC25" s="2">
        <v>40</v>
      </c>
      <c r="AD25" s="2">
        <v>0</v>
      </c>
      <c r="AE25" s="2">
        <v>45</v>
      </c>
      <c r="AF25" s="2">
        <v>16</v>
      </c>
      <c r="AG25" s="2">
        <v>34</v>
      </c>
      <c r="AH25" s="2">
        <v>1</v>
      </c>
      <c r="AI25" s="2">
        <v>0</v>
      </c>
      <c r="AJ25" s="2">
        <v>11</v>
      </c>
      <c r="AK25" s="2">
        <v>0</v>
      </c>
      <c r="AL25" s="2">
        <v>1</v>
      </c>
      <c r="AM25" s="2">
        <v>12</v>
      </c>
      <c r="AN25" s="2">
        <v>1</v>
      </c>
      <c r="AO25" s="2">
        <v>2</v>
      </c>
      <c r="AP25" s="2">
        <v>1447</v>
      </c>
      <c r="AQ25" s="2">
        <v>794</v>
      </c>
      <c r="AR25" s="2">
        <v>794</v>
      </c>
      <c r="AS25" s="2">
        <v>10</v>
      </c>
      <c r="AT25" s="2">
        <v>784</v>
      </c>
      <c r="AU25" s="2">
        <v>6</v>
      </c>
      <c r="AV25" s="2">
        <v>33</v>
      </c>
      <c r="AW25" s="2">
        <v>22</v>
      </c>
      <c r="AX25" s="2">
        <v>96</v>
      </c>
      <c r="AY25" s="2">
        <v>43</v>
      </c>
      <c r="AZ25" s="2">
        <v>500</v>
      </c>
      <c r="BA25" s="2">
        <v>39</v>
      </c>
      <c r="BB25" s="2">
        <v>45</v>
      </c>
      <c r="BC25" s="11" t="s">
        <v>15</v>
      </c>
      <c r="BD25" s="11" t="s">
        <v>425</v>
      </c>
      <c r="BE25" s="11">
        <v>70556</v>
      </c>
      <c r="BF25" s="11" t="s">
        <v>402</v>
      </c>
      <c r="BG25" s="11">
        <v>23</v>
      </c>
      <c r="BH25" s="11">
        <v>1439</v>
      </c>
      <c r="BI25" s="11">
        <v>782</v>
      </c>
      <c r="BJ25" s="11">
        <v>782</v>
      </c>
      <c r="BK25" s="11">
        <v>25</v>
      </c>
      <c r="BL25" s="11">
        <v>757</v>
      </c>
      <c r="BM25" s="11">
        <v>398</v>
      </c>
      <c r="BN25" s="11">
        <v>52</v>
      </c>
      <c r="BO25" s="11">
        <v>15</v>
      </c>
      <c r="BP25" s="11">
        <v>33</v>
      </c>
      <c r="BQ25" s="11">
        <v>33</v>
      </c>
      <c r="BR25" s="11">
        <v>1</v>
      </c>
      <c r="BS25" s="11">
        <v>166</v>
      </c>
      <c r="BT25" s="11">
        <v>0</v>
      </c>
      <c r="BU25" s="11">
        <v>0</v>
      </c>
      <c r="BV25" s="11">
        <v>2</v>
      </c>
      <c r="BW25" s="11">
        <v>3</v>
      </c>
      <c r="BX25" s="11">
        <v>6</v>
      </c>
      <c r="BY25" s="11">
        <v>0</v>
      </c>
      <c r="BZ25" s="11">
        <v>37</v>
      </c>
      <c r="CA25" s="11">
        <v>2</v>
      </c>
      <c r="CB25" s="11">
        <v>2</v>
      </c>
      <c r="CC25" s="11">
        <v>6</v>
      </c>
      <c r="CD25" s="11">
        <v>1</v>
      </c>
      <c r="CE25">
        <v>465</v>
      </c>
      <c r="CF25">
        <v>69</v>
      </c>
      <c r="CG25">
        <v>180</v>
      </c>
      <c r="CH25">
        <v>37</v>
      </c>
      <c r="CI25">
        <v>6</v>
      </c>
      <c r="CJ25" s="14">
        <v>0.54343293954134819</v>
      </c>
      <c r="CK25" s="14">
        <v>0.59462915601023014</v>
      </c>
      <c r="CL25" s="14">
        <v>8.8235294117647065E-2</v>
      </c>
      <c r="CM25" s="14">
        <v>0.23017902813299232</v>
      </c>
      <c r="CN25" s="14">
        <v>4.7314578005115092E-2</v>
      </c>
      <c r="CO25" s="14">
        <v>7.6726342710997444E-3</v>
      </c>
      <c r="CP25" s="30">
        <v>8</v>
      </c>
      <c r="CQ25" s="15">
        <v>497</v>
      </c>
      <c r="CR25">
        <v>131</v>
      </c>
      <c r="CS25">
        <v>145</v>
      </c>
      <c r="CU25">
        <v>5</v>
      </c>
      <c r="CV25" s="14">
        <v>0.54872149274360749</v>
      </c>
      <c r="CW25" s="14">
        <v>0.62594458438287148</v>
      </c>
      <c r="CX25" s="14">
        <v>0.16498740554156172</v>
      </c>
      <c r="CY25" s="14">
        <v>0.18261964735516373</v>
      </c>
      <c r="CZ25" s="14">
        <v>0</v>
      </c>
      <c r="DA25" s="14">
        <v>6.2972292191435771E-3</v>
      </c>
      <c r="DB25" s="30">
        <v>8</v>
      </c>
      <c r="DC25" s="14" t="s">
        <v>488</v>
      </c>
      <c r="DD25" s="17" t="s">
        <v>439</v>
      </c>
      <c r="DE25" s="17" t="s">
        <v>439</v>
      </c>
      <c r="DF25" s="17" t="s">
        <v>442</v>
      </c>
      <c r="DG25" s="21">
        <v>513.5</v>
      </c>
      <c r="DH25" s="22">
        <v>1439</v>
      </c>
      <c r="DI25" s="16">
        <v>1</v>
      </c>
      <c r="DJ25" s="16">
        <v>782</v>
      </c>
      <c r="DK25" s="23">
        <v>0.54343293954134819</v>
      </c>
      <c r="DL25" s="16">
        <v>0</v>
      </c>
      <c r="DM25">
        <v>0</v>
      </c>
      <c r="DN25" s="25"/>
      <c r="DO25" s="25"/>
      <c r="DP25" s="25"/>
      <c r="DQ25" s="26"/>
      <c r="DR25" s="26"/>
    </row>
    <row r="26" spans="1:122" ht="14.25" customHeight="1">
      <c r="A26" s="2">
        <v>4984</v>
      </c>
      <c r="B26" s="3" t="s">
        <v>197</v>
      </c>
      <c r="C26" s="3" t="s">
        <v>203</v>
      </c>
      <c r="D26" s="4">
        <v>24</v>
      </c>
      <c r="E26" s="3" t="s">
        <v>19</v>
      </c>
      <c r="F26" s="3" t="s">
        <v>264</v>
      </c>
      <c r="G26" s="4" t="s">
        <v>265</v>
      </c>
      <c r="H26" s="4" t="b">
        <v>1</v>
      </c>
      <c r="I26" s="4" t="b">
        <v>1</v>
      </c>
      <c r="J26" s="5" t="s">
        <v>265</v>
      </c>
      <c r="K26" s="5" t="s">
        <v>203</v>
      </c>
      <c r="L26" s="5" t="s">
        <v>19</v>
      </c>
      <c r="M26" s="5" t="s">
        <v>264</v>
      </c>
      <c r="N26" s="2" t="s">
        <v>15</v>
      </c>
      <c r="O26" s="2" t="s">
        <v>401</v>
      </c>
      <c r="P26" s="2">
        <v>70556</v>
      </c>
      <c r="Q26" s="2" t="s">
        <v>402</v>
      </c>
      <c r="R26" s="2">
        <v>1828</v>
      </c>
      <c r="S26" s="2">
        <v>997</v>
      </c>
      <c r="T26" s="2">
        <v>997</v>
      </c>
      <c r="U26" s="2">
        <v>19</v>
      </c>
      <c r="V26" s="2">
        <v>978</v>
      </c>
      <c r="W26" s="2">
        <v>338</v>
      </c>
      <c r="X26" s="2">
        <v>142</v>
      </c>
      <c r="Y26" s="2">
        <v>0</v>
      </c>
      <c r="Z26" s="2">
        <v>22</v>
      </c>
      <c r="AA26" s="2">
        <v>158</v>
      </c>
      <c r="AB26" s="2">
        <v>65</v>
      </c>
      <c r="AC26" s="2">
        <v>55</v>
      </c>
      <c r="AD26" s="2">
        <v>1</v>
      </c>
      <c r="AE26" s="2">
        <v>58</v>
      </c>
      <c r="AF26" s="2">
        <v>38</v>
      </c>
      <c r="AG26" s="2">
        <v>56</v>
      </c>
      <c r="AH26" s="2">
        <v>1</v>
      </c>
      <c r="AI26" s="2">
        <v>2</v>
      </c>
      <c r="AJ26" s="2">
        <v>21</v>
      </c>
      <c r="AK26" s="2">
        <v>1</v>
      </c>
      <c r="AL26" s="2">
        <v>1</v>
      </c>
      <c r="AM26" s="2">
        <v>17</v>
      </c>
      <c r="AN26" s="2">
        <v>1</v>
      </c>
      <c r="AO26" s="2">
        <v>1</v>
      </c>
      <c r="AP26" s="2">
        <v>1828</v>
      </c>
      <c r="AQ26" s="2">
        <v>997</v>
      </c>
      <c r="AR26" s="2">
        <v>997</v>
      </c>
      <c r="AS26" s="2">
        <v>11</v>
      </c>
      <c r="AT26" s="2">
        <v>986</v>
      </c>
      <c r="AU26" s="2">
        <v>6</v>
      </c>
      <c r="AV26" s="2">
        <v>41</v>
      </c>
      <c r="AW26" s="2">
        <v>33</v>
      </c>
      <c r="AX26" s="2">
        <v>209</v>
      </c>
      <c r="AY26" s="2">
        <v>59</v>
      </c>
      <c r="AZ26" s="2">
        <v>506</v>
      </c>
      <c r="BA26" s="2">
        <v>63</v>
      </c>
      <c r="BB26" s="2">
        <v>69</v>
      </c>
      <c r="BC26" s="11" t="s">
        <v>15</v>
      </c>
      <c r="BD26" s="11" t="s">
        <v>425</v>
      </c>
      <c r="BE26" s="11">
        <v>70556</v>
      </c>
      <c r="BF26" s="11" t="s">
        <v>402</v>
      </c>
      <c r="BG26" s="11">
        <v>24</v>
      </c>
      <c r="BH26" s="11">
        <v>1796</v>
      </c>
      <c r="BI26" s="11">
        <v>925</v>
      </c>
      <c r="BJ26" s="11">
        <v>925</v>
      </c>
      <c r="BK26" s="11">
        <v>29</v>
      </c>
      <c r="BL26" s="11">
        <v>896</v>
      </c>
      <c r="BM26" s="11">
        <v>365</v>
      </c>
      <c r="BN26" s="11">
        <v>66</v>
      </c>
      <c r="BO26" s="11">
        <v>13</v>
      </c>
      <c r="BP26" s="11">
        <v>32</v>
      </c>
      <c r="BQ26" s="11">
        <v>50</v>
      </c>
      <c r="BR26" s="11">
        <v>2</v>
      </c>
      <c r="BS26" s="11">
        <v>281</v>
      </c>
      <c r="BT26" s="11">
        <v>1</v>
      </c>
      <c r="BU26" s="11">
        <v>0</v>
      </c>
      <c r="BV26" s="11">
        <v>2</v>
      </c>
      <c r="BW26" s="11">
        <v>9</v>
      </c>
      <c r="BX26" s="11">
        <v>16</v>
      </c>
      <c r="BY26" s="11">
        <v>1</v>
      </c>
      <c r="BZ26" s="11">
        <v>52</v>
      </c>
      <c r="CA26" s="11">
        <v>1</v>
      </c>
      <c r="CB26" s="11">
        <v>3</v>
      </c>
      <c r="CC26" s="11">
        <v>2</v>
      </c>
      <c r="CD26" s="11">
        <v>0</v>
      </c>
      <c r="CE26">
        <v>444</v>
      </c>
      <c r="CF26">
        <v>91</v>
      </c>
      <c r="CG26">
        <v>300</v>
      </c>
      <c r="CH26">
        <v>52</v>
      </c>
      <c r="CI26">
        <v>9</v>
      </c>
      <c r="CJ26" s="14">
        <v>0.51503340757238303</v>
      </c>
      <c r="CK26" s="14">
        <v>0.48</v>
      </c>
      <c r="CL26" s="14">
        <v>9.8378378378378373E-2</v>
      </c>
      <c r="CM26" s="14">
        <v>0.32432432432432434</v>
      </c>
      <c r="CN26" s="14">
        <v>5.6216216216216218E-2</v>
      </c>
      <c r="CO26" s="14">
        <v>9.7297297297297292E-3</v>
      </c>
      <c r="CP26" s="30">
        <v>2</v>
      </c>
      <c r="CQ26" s="15">
        <v>502</v>
      </c>
      <c r="CR26">
        <v>214</v>
      </c>
      <c r="CS26">
        <v>255</v>
      </c>
      <c r="CU26">
        <v>7</v>
      </c>
      <c r="CV26" s="14">
        <v>0.54540481400437635</v>
      </c>
      <c r="CW26" s="14">
        <v>0.50351053159478432</v>
      </c>
      <c r="CX26" s="14">
        <v>0.21464393179538616</v>
      </c>
      <c r="CY26" s="14">
        <v>0.25576730190571717</v>
      </c>
      <c r="CZ26" s="14">
        <v>0</v>
      </c>
      <c r="DA26" s="14">
        <v>7.0210631895687063E-3</v>
      </c>
      <c r="DB26" s="30">
        <v>3</v>
      </c>
      <c r="DC26" s="14" t="s">
        <v>470</v>
      </c>
      <c r="DD26" s="17" t="s">
        <v>434</v>
      </c>
      <c r="DE26" s="17" t="s">
        <v>435</v>
      </c>
      <c r="DF26" s="17" t="s">
        <v>450</v>
      </c>
      <c r="DG26" s="21">
        <v>736.35</v>
      </c>
      <c r="DH26" s="22">
        <v>1796</v>
      </c>
      <c r="DI26" s="16">
        <v>1</v>
      </c>
      <c r="DJ26" s="16">
        <v>925</v>
      </c>
      <c r="DK26" s="23">
        <v>0.51503340757238303</v>
      </c>
      <c r="DL26" s="16">
        <v>1</v>
      </c>
      <c r="DM26">
        <v>3</v>
      </c>
      <c r="DN26" s="24"/>
      <c r="DO26" s="25"/>
      <c r="DP26" s="25"/>
      <c r="DQ26" s="27"/>
      <c r="DR26" s="26"/>
    </row>
    <row r="27" spans="1:122" ht="14.25" customHeight="1">
      <c r="A27" s="2">
        <v>4985</v>
      </c>
      <c r="B27" s="3" t="s">
        <v>197</v>
      </c>
      <c r="C27" s="3" t="s">
        <v>203</v>
      </c>
      <c r="D27" s="4">
        <v>25</v>
      </c>
      <c r="E27" s="3" t="s">
        <v>266</v>
      </c>
      <c r="F27" s="3" t="s">
        <v>267</v>
      </c>
      <c r="G27" s="4" t="s">
        <v>268</v>
      </c>
      <c r="H27" s="4" t="s">
        <v>16</v>
      </c>
      <c r="I27" s="4" t="b">
        <v>1</v>
      </c>
      <c r="J27" s="5" t="s">
        <v>268</v>
      </c>
      <c r="K27" s="5" t="s">
        <v>203</v>
      </c>
      <c r="L27" s="5" t="s">
        <v>269</v>
      </c>
      <c r="M27" s="5" t="s">
        <v>267</v>
      </c>
      <c r="N27" s="2" t="s">
        <v>15</v>
      </c>
      <c r="O27" s="2" t="s">
        <v>401</v>
      </c>
      <c r="P27" s="2">
        <v>70556</v>
      </c>
      <c r="Q27" s="2" t="s">
        <v>402</v>
      </c>
      <c r="R27" s="2">
        <v>668</v>
      </c>
      <c r="S27" s="2">
        <v>382</v>
      </c>
      <c r="T27" s="2">
        <v>382</v>
      </c>
      <c r="U27" s="2">
        <v>19</v>
      </c>
      <c r="V27" s="2">
        <v>363</v>
      </c>
      <c r="W27" s="2">
        <v>190</v>
      </c>
      <c r="X27" s="2">
        <v>82</v>
      </c>
      <c r="Y27" s="2">
        <v>0</v>
      </c>
      <c r="Z27" s="2">
        <v>8</v>
      </c>
      <c r="AA27" s="2">
        <v>22</v>
      </c>
      <c r="AB27" s="2">
        <v>18</v>
      </c>
      <c r="AC27" s="2">
        <v>15</v>
      </c>
      <c r="AD27" s="2">
        <v>0</v>
      </c>
      <c r="AE27" s="2">
        <v>3</v>
      </c>
      <c r="AF27" s="2">
        <v>4</v>
      </c>
      <c r="AG27" s="2">
        <v>16</v>
      </c>
      <c r="AH27" s="2">
        <v>0</v>
      </c>
      <c r="AI27" s="2">
        <v>0</v>
      </c>
      <c r="AJ27" s="2">
        <v>4</v>
      </c>
      <c r="AK27" s="2">
        <v>0</v>
      </c>
      <c r="AL27" s="2">
        <v>0</v>
      </c>
      <c r="AM27" s="2">
        <v>1</v>
      </c>
      <c r="AN27" s="2">
        <v>0</v>
      </c>
      <c r="AO27" s="2">
        <v>0</v>
      </c>
      <c r="AP27" s="2">
        <v>668</v>
      </c>
      <c r="AQ27" s="2">
        <v>382</v>
      </c>
      <c r="AR27" s="2">
        <v>382</v>
      </c>
      <c r="AS27" s="2">
        <v>10</v>
      </c>
      <c r="AT27" s="2">
        <v>372</v>
      </c>
      <c r="AU27" s="2">
        <v>5</v>
      </c>
      <c r="AV27" s="2">
        <v>3</v>
      </c>
      <c r="AW27" s="2">
        <v>6</v>
      </c>
      <c r="AX27" s="2">
        <v>26</v>
      </c>
      <c r="AY27" s="2">
        <v>18</v>
      </c>
      <c r="AZ27" s="2">
        <v>277</v>
      </c>
      <c r="BA27" s="2">
        <v>13</v>
      </c>
      <c r="BB27" s="2">
        <v>24</v>
      </c>
      <c r="BC27" s="11" t="s">
        <v>15</v>
      </c>
      <c r="BD27" s="11" t="s">
        <v>425</v>
      </c>
      <c r="BE27" s="11">
        <v>70556</v>
      </c>
      <c r="BF27" s="11" t="s">
        <v>402</v>
      </c>
      <c r="BG27" s="11">
        <v>25</v>
      </c>
      <c r="BH27" s="11">
        <v>647</v>
      </c>
      <c r="BI27" s="11">
        <v>365</v>
      </c>
      <c r="BJ27" s="11">
        <v>365</v>
      </c>
      <c r="BK27" s="11">
        <v>15</v>
      </c>
      <c r="BL27" s="11">
        <v>350</v>
      </c>
      <c r="BM27" s="11">
        <v>214</v>
      </c>
      <c r="BN27" s="11">
        <v>34</v>
      </c>
      <c r="BO27" s="11">
        <v>7</v>
      </c>
      <c r="BP27" s="11">
        <v>20</v>
      </c>
      <c r="BQ27" s="11">
        <v>12</v>
      </c>
      <c r="BR27" s="11">
        <v>0</v>
      </c>
      <c r="BS27" s="11">
        <v>44</v>
      </c>
      <c r="BT27" s="11">
        <v>0</v>
      </c>
      <c r="BU27" s="11">
        <v>0</v>
      </c>
      <c r="BV27" s="11">
        <v>1</v>
      </c>
      <c r="BW27" s="11">
        <v>0</v>
      </c>
      <c r="BX27" s="11">
        <v>5</v>
      </c>
      <c r="BY27" s="11">
        <v>0</v>
      </c>
      <c r="BZ27" s="11">
        <v>10</v>
      </c>
      <c r="CA27" s="11">
        <v>0</v>
      </c>
      <c r="CB27" s="11">
        <v>2</v>
      </c>
      <c r="CC27" s="11">
        <v>0</v>
      </c>
      <c r="CD27" s="11">
        <v>1</v>
      </c>
      <c r="CE27">
        <v>255</v>
      </c>
      <c r="CF27">
        <v>32</v>
      </c>
      <c r="CG27">
        <v>49</v>
      </c>
      <c r="CH27">
        <v>10</v>
      </c>
      <c r="CI27">
        <v>4</v>
      </c>
      <c r="CJ27" s="14">
        <v>0.56414219474497684</v>
      </c>
      <c r="CK27" s="14">
        <v>0.69863013698630139</v>
      </c>
      <c r="CL27" s="14">
        <v>8.7671232876712329E-2</v>
      </c>
      <c r="CM27" s="14">
        <v>0.13424657534246576</v>
      </c>
      <c r="CN27" s="14">
        <v>2.7397260273972601E-2</v>
      </c>
      <c r="CO27" s="14">
        <v>1.0958904109589041E-2</v>
      </c>
      <c r="CP27" s="30">
        <v>8</v>
      </c>
      <c r="CQ27" s="15">
        <v>280</v>
      </c>
      <c r="CR27">
        <v>53</v>
      </c>
      <c r="CS27">
        <v>30</v>
      </c>
      <c r="CU27">
        <v>0</v>
      </c>
      <c r="CV27" s="14">
        <v>0.57185628742514971</v>
      </c>
      <c r="CW27" s="14">
        <v>0.73298429319371727</v>
      </c>
      <c r="CX27" s="14">
        <v>0.13874345549738221</v>
      </c>
      <c r="CY27" s="14">
        <v>7.8534031413612565E-2</v>
      </c>
      <c r="CZ27" s="14">
        <v>0</v>
      </c>
      <c r="DA27" s="14">
        <v>0</v>
      </c>
      <c r="DB27" s="30">
        <v>8</v>
      </c>
      <c r="DC27" s="14" t="s">
        <v>488</v>
      </c>
      <c r="DD27" s="17" t="s">
        <v>439</v>
      </c>
      <c r="DE27" s="17" t="s">
        <v>439</v>
      </c>
      <c r="DF27" s="17" t="s">
        <v>442</v>
      </c>
      <c r="DG27" s="21">
        <v>194.55</v>
      </c>
      <c r="DH27" s="16">
        <v>647</v>
      </c>
      <c r="DI27" s="16">
        <v>0</v>
      </c>
      <c r="DJ27" s="16">
        <v>365</v>
      </c>
      <c r="DK27" s="23">
        <v>0.56414219474497684</v>
      </c>
      <c r="DL27" s="16">
        <v>0</v>
      </c>
      <c r="DM27">
        <v>0</v>
      </c>
      <c r="DN27" s="25"/>
      <c r="DO27" s="25"/>
      <c r="DP27" s="25"/>
      <c r="DQ27" s="26"/>
      <c r="DR27" s="26"/>
    </row>
    <row r="28" spans="1:122" ht="14.25" customHeight="1">
      <c r="A28" s="2">
        <v>4986</v>
      </c>
      <c r="B28" s="3" t="s">
        <v>197</v>
      </c>
      <c r="C28" s="3" t="s">
        <v>203</v>
      </c>
      <c r="D28" s="4">
        <v>26</v>
      </c>
      <c r="E28" s="3" t="s">
        <v>12</v>
      </c>
      <c r="F28" s="3" t="s">
        <v>267</v>
      </c>
      <c r="G28" s="4" t="s">
        <v>270</v>
      </c>
      <c r="H28" s="4" t="b">
        <v>1</v>
      </c>
      <c r="I28" s="4" t="b">
        <v>1</v>
      </c>
      <c r="J28" s="5" t="s">
        <v>270</v>
      </c>
      <c r="K28" s="5" t="s">
        <v>203</v>
      </c>
      <c r="L28" s="5" t="s">
        <v>12</v>
      </c>
      <c r="M28" s="5" t="s">
        <v>267</v>
      </c>
      <c r="N28" s="2" t="s">
        <v>15</v>
      </c>
      <c r="O28" s="2" t="s">
        <v>401</v>
      </c>
      <c r="P28" s="2">
        <v>70556</v>
      </c>
      <c r="Q28" s="2" t="s">
        <v>402</v>
      </c>
      <c r="R28" s="2">
        <v>816</v>
      </c>
      <c r="S28" s="2">
        <v>377</v>
      </c>
      <c r="T28" s="2">
        <v>377</v>
      </c>
      <c r="U28" s="2">
        <v>17</v>
      </c>
      <c r="V28" s="2">
        <v>360</v>
      </c>
      <c r="W28" s="2">
        <v>201</v>
      </c>
      <c r="X28" s="2">
        <v>47</v>
      </c>
      <c r="Y28" s="2">
        <v>0</v>
      </c>
      <c r="Z28" s="2">
        <v>11</v>
      </c>
      <c r="AA28" s="2">
        <v>18</v>
      </c>
      <c r="AB28" s="2">
        <v>24</v>
      </c>
      <c r="AC28" s="2">
        <v>21</v>
      </c>
      <c r="AD28" s="2">
        <v>1</v>
      </c>
      <c r="AE28" s="2">
        <v>6</v>
      </c>
      <c r="AF28" s="2">
        <v>11</v>
      </c>
      <c r="AG28" s="2">
        <v>17</v>
      </c>
      <c r="AH28" s="2">
        <v>0</v>
      </c>
      <c r="AI28" s="2">
        <v>0</v>
      </c>
      <c r="AJ28" s="2">
        <v>3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816</v>
      </c>
      <c r="AQ28" s="2">
        <v>377</v>
      </c>
      <c r="AR28" s="2">
        <v>377</v>
      </c>
      <c r="AS28" s="2">
        <v>9</v>
      </c>
      <c r="AT28" s="2">
        <v>368</v>
      </c>
      <c r="AU28" s="2">
        <v>9</v>
      </c>
      <c r="AV28" s="2">
        <v>8</v>
      </c>
      <c r="AW28" s="2">
        <v>7</v>
      </c>
      <c r="AX28" s="2">
        <v>23</v>
      </c>
      <c r="AY28" s="2">
        <v>22</v>
      </c>
      <c r="AZ28" s="2">
        <v>257</v>
      </c>
      <c r="BA28" s="2">
        <v>23</v>
      </c>
      <c r="BB28" s="2">
        <v>19</v>
      </c>
      <c r="BC28" s="11" t="s">
        <v>15</v>
      </c>
      <c r="BD28" s="11" t="s">
        <v>425</v>
      </c>
      <c r="BE28" s="11">
        <v>70556</v>
      </c>
      <c r="BF28" s="11" t="s">
        <v>402</v>
      </c>
      <c r="BG28" s="11">
        <v>26</v>
      </c>
      <c r="BH28" s="11">
        <v>780</v>
      </c>
      <c r="BI28" s="11">
        <v>348</v>
      </c>
      <c r="BJ28" s="11">
        <v>348</v>
      </c>
      <c r="BK28" s="11">
        <v>10</v>
      </c>
      <c r="BL28" s="11">
        <v>338</v>
      </c>
      <c r="BM28" s="11">
        <v>226</v>
      </c>
      <c r="BN28" s="11">
        <v>21</v>
      </c>
      <c r="BO28" s="11">
        <v>10</v>
      </c>
      <c r="BP28" s="11">
        <v>21</v>
      </c>
      <c r="BQ28" s="11">
        <v>10</v>
      </c>
      <c r="BR28" s="11">
        <v>0</v>
      </c>
      <c r="BS28" s="11">
        <v>38</v>
      </c>
      <c r="BT28" s="11">
        <v>0</v>
      </c>
      <c r="BU28" s="11">
        <v>0</v>
      </c>
      <c r="BV28" s="11">
        <v>0</v>
      </c>
      <c r="BW28" s="11">
        <v>1</v>
      </c>
      <c r="BX28" s="11">
        <v>2</v>
      </c>
      <c r="BY28" s="11">
        <v>0</v>
      </c>
      <c r="BZ28" s="11">
        <v>7</v>
      </c>
      <c r="CA28" s="11">
        <v>0</v>
      </c>
      <c r="CB28" s="11">
        <v>1</v>
      </c>
      <c r="CC28" s="11">
        <v>0</v>
      </c>
      <c r="CD28" s="11">
        <v>1</v>
      </c>
      <c r="CE28">
        <v>257</v>
      </c>
      <c r="CF28">
        <v>32</v>
      </c>
      <c r="CG28">
        <v>40</v>
      </c>
      <c r="CH28">
        <v>7</v>
      </c>
      <c r="CI28">
        <v>2</v>
      </c>
      <c r="CJ28" s="14">
        <v>0.44615384615384618</v>
      </c>
      <c r="CK28" s="14">
        <v>0.7385057471264368</v>
      </c>
      <c r="CL28" s="14">
        <v>9.1954022988505746E-2</v>
      </c>
      <c r="CM28" s="14">
        <v>0.11494252873563218</v>
      </c>
      <c r="CN28" s="14">
        <v>2.0114942528735632E-2</v>
      </c>
      <c r="CO28" s="14">
        <v>5.7471264367816091E-3</v>
      </c>
      <c r="CP28" s="30">
        <v>5</v>
      </c>
      <c r="CQ28" s="15">
        <v>259</v>
      </c>
      <c r="CR28">
        <v>73</v>
      </c>
      <c r="CS28">
        <v>27</v>
      </c>
      <c r="CU28">
        <v>1</v>
      </c>
      <c r="CV28" s="14">
        <v>0.46200980392156865</v>
      </c>
      <c r="CW28" s="14">
        <v>0.6870026525198939</v>
      </c>
      <c r="CX28" s="14">
        <v>0.19363395225464192</v>
      </c>
      <c r="CY28" s="14">
        <v>7.161803713527852E-2</v>
      </c>
      <c r="CZ28" s="14">
        <v>0</v>
      </c>
      <c r="DA28" s="14">
        <v>2.6525198938992041E-3</v>
      </c>
      <c r="DB28" s="30">
        <v>3</v>
      </c>
      <c r="DC28" s="14" t="s">
        <v>473</v>
      </c>
      <c r="DD28" s="17" t="s">
        <v>437</v>
      </c>
      <c r="DE28" s="17" t="s">
        <v>435</v>
      </c>
      <c r="DF28" s="17" t="s">
        <v>457</v>
      </c>
      <c r="DG28" s="21">
        <v>241.77</v>
      </c>
      <c r="DH28" s="16">
        <v>780</v>
      </c>
      <c r="DI28" s="16">
        <v>0</v>
      </c>
      <c r="DJ28" s="16">
        <v>348</v>
      </c>
      <c r="DK28" s="23">
        <v>0.44615384615384618</v>
      </c>
      <c r="DL28" s="16">
        <v>1</v>
      </c>
      <c r="DM28">
        <v>5</v>
      </c>
      <c r="DN28" s="25"/>
      <c r="DO28" s="25"/>
      <c r="DP28" s="25"/>
      <c r="DQ28" s="26"/>
      <c r="DR28" s="26"/>
    </row>
    <row r="29" spans="1:122" ht="14.25" customHeight="1">
      <c r="A29" s="2">
        <v>4987</v>
      </c>
      <c r="B29" s="3" t="s">
        <v>197</v>
      </c>
      <c r="C29" s="3" t="s">
        <v>203</v>
      </c>
      <c r="D29" s="4">
        <v>27</v>
      </c>
      <c r="E29" s="3" t="s">
        <v>26</v>
      </c>
      <c r="F29" s="3" t="s">
        <v>271</v>
      </c>
      <c r="G29" s="4" t="s">
        <v>272</v>
      </c>
      <c r="H29" s="4" t="b">
        <v>1</v>
      </c>
      <c r="I29" s="4" t="b">
        <v>1</v>
      </c>
      <c r="J29" s="5" t="s">
        <v>272</v>
      </c>
      <c r="K29" s="5" t="s">
        <v>203</v>
      </c>
      <c r="L29" s="5" t="s">
        <v>26</v>
      </c>
      <c r="M29" s="5" t="s">
        <v>271</v>
      </c>
      <c r="N29" s="2" t="s">
        <v>15</v>
      </c>
      <c r="O29" s="2" t="s">
        <v>401</v>
      </c>
      <c r="P29" s="2">
        <v>70556</v>
      </c>
      <c r="Q29" s="2" t="s">
        <v>402</v>
      </c>
      <c r="R29" s="2">
        <v>565</v>
      </c>
      <c r="S29" s="2">
        <v>246</v>
      </c>
      <c r="T29" s="2">
        <v>246</v>
      </c>
      <c r="U29" s="2">
        <v>10</v>
      </c>
      <c r="V29" s="2">
        <v>236</v>
      </c>
      <c r="W29" s="2">
        <v>138</v>
      </c>
      <c r="X29" s="2">
        <v>46</v>
      </c>
      <c r="Y29" s="2">
        <v>0</v>
      </c>
      <c r="Z29" s="2">
        <v>6</v>
      </c>
      <c r="AA29" s="2">
        <v>12</v>
      </c>
      <c r="AB29" s="2">
        <v>5</v>
      </c>
      <c r="AC29" s="2">
        <v>15</v>
      </c>
      <c r="AD29" s="2">
        <v>1</v>
      </c>
      <c r="AE29" s="2">
        <v>3</v>
      </c>
      <c r="AF29" s="2">
        <v>0</v>
      </c>
      <c r="AG29" s="2">
        <v>4</v>
      </c>
      <c r="AH29" s="2">
        <v>1</v>
      </c>
      <c r="AI29" s="2">
        <v>0</v>
      </c>
      <c r="AJ29" s="2">
        <v>4</v>
      </c>
      <c r="AK29" s="2">
        <v>0</v>
      </c>
      <c r="AL29" s="2">
        <v>0</v>
      </c>
      <c r="AM29" s="2">
        <v>0</v>
      </c>
      <c r="AN29" s="2">
        <v>0</v>
      </c>
      <c r="AO29" s="2">
        <v>1</v>
      </c>
      <c r="AP29" s="2">
        <v>565</v>
      </c>
      <c r="AQ29" s="2">
        <v>246</v>
      </c>
      <c r="AR29" s="2">
        <v>246</v>
      </c>
      <c r="AS29" s="2">
        <v>5</v>
      </c>
      <c r="AT29" s="2">
        <v>241</v>
      </c>
      <c r="AU29" s="2">
        <v>6</v>
      </c>
      <c r="AV29" s="2">
        <v>2</v>
      </c>
      <c r="AW29" s="2">
        <v>0</v>
      </c>
      <c r="AX29" s="2">
        <v>18</v>
      </c>
      <c r="AY29" s="2">
        <v>19</v>
      </c>
      <c r="AZ29" s="2">
        <v>189</v>
      </c>
      <c r="BA29" s="2">
        <v>1</v>
      </c>
      <c r="BB29" s="2">
        <v>6</v>
      </c>
      <c r="BC29" s="11" t="s">
        <v>15</v>
      </c>
      <c r="BD29" s="11" t="s">
        <v>425</v>
      </c>
      <c r="BE29" s="11">
        <v>70556</v>
      </c>
      <c r="BF29" s="11" t="s">
        <v>402</v>
      </c>
      <c r="BG29" s="11">
        <v>27</v>
      </c>
      <c r="BH29" s="11">
        <v>548</v>
      </c>
      <c r="BI29" s="11">
        <v>245</v>
      </c>
      <c r="BJ29" s="11">
        <v>245</v>
      </c>
      <c r="BK29" s="11">
        <v>3</v>
      </c>
      <c r="BL29" s="11">
        <v>242</v>
      </c>
      <c r="BM29" s="11">
        <v>185</v>
      </c>
      <c r="BN29" s="11">
        <v>23</v>
      </c>
      <c r="BO29" s="11">
        <v>5</v>
      </c>
      <c r="BP29" s="11">
        <v>8</v>
      </c>
      <c r="BQ29" s="11">
        <v>3</v>
      </c>
      <c r="BR29" s="11">
        <v>0</v>
      </c>
      <c r="BS29" s="11">
        <v>8</v>
      </c>
      <c r="BT29" s="11">
        <v>0</v>
      </c>
      <c r="BU29" s="11">
        <v>0</v>
      </c>
      <c r="BV29" s="11">
        <v>0</v>
      </c>
      <c r="BW29" s="11">
        <v>0</v>
      </c>
      <c r="BX29" s="11">
        <v>1</v>
      </c>
      <c r="BY29" s="11">
        <v>0</v>
      </c>
      <c r="BZ29" s="11">
        <v>4</v>
      </c>
      <c r="CA29" s="11">
        <v>0</v>
      </c>
      <c r="CB29" s="11">
        <v>4</v>
      </c>
      <c r="CC29" s="11">
        <v>0</v>
      </c>
      <c r="CD29" s="11">
        <v>1</v>
      </c>
      <c r="CE29">
        <v>213</v>
      </c>
      <c r="CF29">
        <v>11</v>
      </c>
      <c r="CG29">
        <v>9</v>
      </c>
      <c r="CH29">
        <v>4</v>
      </c>
      <c r="CI29">
        <v>5</v>
      </c>
      <c r="CJ29" s="14">
        <v>0.4470802919708029</v>
      </c>
      <c r="CK29" s="14">
        <v>0.8693877551020408</v>
      </c>
      <c r="CL29" s="14">
        <v>4.4897959183673466E-2</v>
      </c>
      <c r="CM29" s="14">
        <v>3.6734693877551024E-2</v>
      </c>
      <c r="CN29" s="14">
        <v>1.6326530612244899E-2</v>
      </c>
      <c r="CO29" s="14">
        <v>2.0408163265306121E-2</v>
      </c>
      <c r="CP29" s="30">
        <v>5</v>
      </c>
      <c r="CQ29" s="15">
        <v>190</v>
      </c>
      <c r="CR29">
        <v>24</v>
      </c>
      <c r="CS29">
        <v>20</v>
      </c>
      <c r="CU29">
        <v>2</v>
      </c>
      <c r="CV29" s="14">
        <v>0.4353982300884956</v>
      </c>
      <c r="CW29" s="14">
        <v>0.77235772357723576</v>
      </c>
      <c r="CX29" s="14">
        <v>9.7560975609756101E-2</v>
      </c>
      <c r="CY29" s="14">
        <v>8.1300813008130079E-2</v>
      </c>
      <c r="CZ29" s="14">
        <v>0</v>
      </c>
      <c r="DA29" s="14">
        <v>8.130081300813009E-3</v>
      </c>
      <c r="DB29" s="30">
        <v>5</v>
      </c>
      <c r="DC29" s="14" t="s">
        <v>474</v>
      </c>
      <c r="DD29" s="17" t="s">
        <v>437</v>
      </c>
      <c r="DE29" s="17" t="s">
        <v>437</v>
      </c>
      <c r="DF29" s="17" t="s">
        <v>453</v>
      </c>
      <c r="DG29" s="21">
        <v>148.20000000000002</v>
      </c>
      <c r="DH29" s="16">
        <v>548</v>
      </c>
      <c r="DI29" s="16">
        <v>0</v>
      </c>
      <c r="DJ29" s="16">
        <v>245</v>
      </c>
      <c r="DK29" s="23">
        <v>0.4470802919708029</v>
      </c>
      <c r="DL29" s="16">
        <v>1</v>
      </c>
      <c r="DM29">
        <v>5</v>
      </c>
      <c r="DN29" s="25"/>
      <c r="DO29" s="25"/>
      <c r="DP29" s="25"/>
      <c r="DQ29" s="26"/>
      <c r="DR29" s="26"/>
    </row>
    <row r="30" spans="1:122" ht="14.25" customHeight="1">
      <c r="A30" s="2">
        <v>4988</v>
      </c>
      <c r="B30" s="3" t="s">
        <v>197</v>
      </c>
      <c r="C30" s="3" t="s">
        <v>203</v>
      </c>
      <c r="D30" s="4">
        <v>28</v>
      </c>
      <c r="E30" s="3" t="s">
        <v>12</v>
      </c>
      <c r="F30" s="3" t="s">
        <v>273</v>
      </c>
      <c r="G30" s="4" t="s">
        <v>274</v>
      </c>
      <c r="H30" s="4" t="b">
        <v>1</v>
      </c>
      <c r="I30" s="4" t="b">
        <v>1</v>
      </c>
      <c r="J30" s="5" t="s">
        <v>274</v>
      </c>
      <c r="K30" s="5" t="s">
        <v>203</v>
      </c>
      <c r="L30" s="5" t="s">
        <v>12</v>
      </c>
      <c r="M30" s="5" t="s">
        <v>273</v>
      </c>
      <c r="N30" s="2" t="s">
        <v>15</v>
      </c>
      <c r="O30" s="2" t="s">
        <v>401</v>
      </c>
      <c r="P30" s="2">
        <v>70556</v>
      </c>
      <c r="Q30" s="2" t="s">
        <v>402</v>
      </c>
      <c r="R30" s="2">
        <v>194</v>
      </c>
      <c r="S30" s="2">
        <v>118</v>
      </c>
      <c r="T30" s="2">
        <v>118</v>
      </c>
      <c r="U30" s="2">
        <v>3</v>
      </c>
      <c r="V30" s="2">
        <v>115</v>
      </c>
      <c r="W30" s="2">
        <v>62</v>
      </c>
      <c r="X30" s="2">
        <v>11</v>
      </c>
      <c r="Y30" s="2">
        <v>0</v>
      </c>
      <c r="Z30" s="2">
        <v>1</v>
      </c>
      <c r="AA30" s="2">
        <v>5</v>
      </c>
      <c r="AB30" s="2">
        <v>30</v>
      </c>
      <c r="AC30" s="2">
        <v>3</v>
      </c>
      <c r="AD30" s="2">
        <v>0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194</v>
      </c>
      <c r="AQ30" s="2">
        <v>108</v>
      </c>
      <c r="AR30" s="2">
        <v>108</v>
      </c>
      <c r="AS30" s="2">
        <v>0</v>
      </c>
      <c r="AT30" s="2">
        <v>108</v>
      </c>
      <c r="AU30" s="2">
        <v>1</v>
      </c>
      <c r="AV30" s="2">
        <v>0</v>
      </c>
      <c r="AW30" s="2">
        <v>0</v>
      </c>
      <c r="AX30" s="2">
        <v>1</v>
      </c>
      <c r="AY30" s="2">
        <v>1</v>
      </c>
      <c r="AZ30" s="2">
        <v>82</v>
      </c>
      <c r="BA30" s="2">
        <v>23</v>
      </c>
      <c r="BB30" s="2">
        <v>0</v>
      </c>
      <c r="BC30" s="11" t="s">
        <v>15</v>
      </c>
      <c r="BD30" s="11" t="s">
        <v>425</v>
      </c>
      <c r="BE30" s="11">
        <v>70556</v>
      </c>
      <c r="BF30" s="11" t="s">
        <v>402</v>
      </c>
      <c r="BG30" s="11">
        <v>28</v>
      </c>
      <c r="BH30" s="11">
        <v>188</v>
      </c>
      <c r="BI30" s="11">
        <v>112</v>
      </c>
      <c r="BJ30" s="11">
        <v>112</v>
      </c>
      <c r="BK30" s="11">
        <v>0</v>
      </c>
      <c r="BL30" s="11">
        <v>112</v>
      </c>
      <c r="BM30" s="11">
        <v>73</v>
      </c>
      <c r="BN30" s="11">
        <v>7</v>
      </c>
      <c r="BO30" s="11">
        <v>2</v>
      </c>
      <c r="BP30" s="11">
        <v>4</v>
      </c>
      <c r="BQ30" s="11">
        <v>13</v>
      </c>
      <c r="BR30" s="11">
        <v>0</v>
      </c>
      <c r="BS30" s="11">
        <v>11</v>
      </c>
      <c r="BT30" s="11">
        <v>0</v>
      </c>
      <c r="BU30" s="11">
        <v>0</v>
      </c>
      <c r="BV30" s="11">
        <v>1</v>
      </c>
      <c r="BW30" s="11">
        <v>0</v>
      </c>
      <c r="BX30" s="11">
        <v>1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>
        <v>82</v>
      </c>
      <c r="CF30">
        <v>17</v>
      </c>
      <c r="CG30">
        <v>12</v>
      </c>
      <c r="CH30">
        <v>0</v>
      </c>
      <c r="CI30">
        <v>1</v>
      </c>
      <c r="CJ30" s="14">
        <v>0.5957446808510638</v>
      </c>
      <c r="CK30" s="14">
        <v>0.7321428571428571</v>
      </c>
      <c r="CL30" s="14">
        <v>0.15178571428571427</v>
      </c>
      <c r="CM30" s="14">
        <v>0.10714285714285714</v>
      </c>
      <c r="CN30" s="14">
        <v>0</v>
      </c>
      <c r="CO30" s="14">
        <v>8.9285714285714281E-3</v>
      </c>
      <c r="CP30" s="30">
        <v>3</v>
      </c>
      <c r="CQ30" s="15">
        <v>74</v>
      </c>
      <c r="CR30">
        <v>34</v>
      </c>
      <c r="CS30">
        <v>7</v>
      </c>
      <c r="CU30">
        <v>0</v>
      </c>
      <c r="CV30" s="14">
        <v>0.60824742268041232</v>
      </c>
      <c r="CW30" s="14">
        <v>0.6271186440677966</v>
      </c>
      <c r="CX30" s="14">
        <v>0.28813559322033899</v>
      </c>
      <c r="CY30" s="14">
        <v>5.9322033898305086E-2</v>
      </c>
      <c r="CZ30" s="14">
        <v>0</v>
      </c>
      <c r="DA30" s="14">
        <v>0</v>
      </c>
      <c r="DB30" s="30">
        <v>3</v>
      </c>
      <c r="DC30" s="14" t="s">
        <v>469</v>
      </c>
      <c r="DD30" s="17" t="s">
        <v>435</v>
      </c>
      <c r="DE30" s="17" t="s">
        <v>435</v>
      </c>
      <c r="DF30" s="17" t="s">
        <v>446</v>
      </c>
      <c r="DG30" s="21">
        <v>56.14</v>
      </c>
      <c r="DH30" s="16">
        <v>188</v>
      </c>
      <c r="DI30" s="16">
        <v>0</v>
      </c>
      <c r="DJ30" s="16">
        <v>112</v>
      </c>
      <c r="DK30" s="23">
        <v>0.5957446808510638</v>
      </c>
      <c r="DL30" s="16">
        <v>1</v>
      </c>
      <c r="DM30">
        <v>4</v>
      </c>
      <c r="DN30" s="25"/>
      <c r="DO30" s="25"/>
      <c r="DP30" s="25"/>
      <c r="DQ30" s="26"/>
      <c r="DR30" s="26"/>
    </row>
    <row r="31" spans="1:122" ht="14.25" customHeight="1">
      <c r="A31" s="2">
        <v>4989</v>
      </c>
      <c r="B31" s="3" t="s">
        <v>197</v>
      </c>
      <c r="C31" s="3" t="s">
        <v>203</v>
      </c>
      <c r="D31" s="4">
        <v>29</v>
      </c>
      <c r="E31" s="3" t="s">
        <v>275</v>
      </c>
      <c r="F31" s="3" t="s">
        <v>276</v>
      </c>
      <c r="G31" s="4" t="s">
        <v>277</v>
      </c>
      <c r="H31" s="4" t="b">
        <v>1</v>
      </c>
      <c r="I31" s="4" t="b">
        <v>1</v>
      </c>
      <c r="J31" s="5" t="s">
        <v>277</v>
      </c>
      <c r="K31" s="5" t="s">
        <v>203</v>
      </c>
      <c r="L31" s="5" t="s">
        <v>275</v>
      </c>
      <c r="M31" s="5" t="s">
        <v>276</v>
      </c>
      <c r="N31" s="2" t="s">
        <v>15</v>
      </c>
      <c r="O31" s="2" t="s">
        <v>401</v>
      </c>
      <c r="P31" s="2">
        <v>70556</v>
      </c>
      <c r="Q31" s="2" t="s">
        <v>402</v>
      </c>
      <c r="R31" s="2">
        <v>414</v>
      </c>
      <c r="S31" s="2">
        <v>207</v>
      </c>
      <c r="T31" s="2">
        <v>207</v>
      </c>
      <c r="U31" s="2">
        <v>2</v>
      </c>
      <c r="V31" s="2">
        <v>205</v>
      </c>
      <c r="W31" s="2">
        <v>153</v>
      </c>
      <c r="X31" s="2">
        <v>25</v>
      </c>
      <c r="Y31" s="2">
        <v>1</v>
      </c>
      <c r="Z31" s="2">
        <v>0</v>
      </c>
      <c r="AA31" s="2">
        <v>9</v>
      </c>
      <c r="AB31" s="2">
        <v>6</v>
      </c>
      <c r="AC31" s="2">
        <v>2</v>
      </c>
      <c r="AD31" s="2">
        <v>0</v>
      </c>
      <c r="AE31" s="2">
        <v>2</v>
      </c>
      <c r="AF31" s="2">
        <v>1</v>
      </c>
      <c r="AG31" s="2">
        <v>4</v>
      </c>
      <c r="AH31" s="2">
        <v>0</v>
      </c>
      <c r="AI31" s="2">
        <v>0</v>
      </c>
      <c r="AJ31" s="2">
        <v>2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414</v>
      </c>
      <c r="AQ31" s="2">
        <v>207</v>
      </c>
      <c r="AR31" s="2">
        <v>207</v>
      </c>
      <c r="AS31" s="2">
        <v>5</v>
      </c>
      <c r="AT31" s="2">
        <v>202</v>
      </c>
      <c r="AU31" s="2">
        <v>5</v>
      </c>
      <c r="AV31" s="2">
        <v>4</v>
      </c>
      <c r="AW31" s="2">
        <v>0</v>
      </c>
      <c r="AX31" s="2">
        <v>9</v>
      </c>
      <c r="AY31" s="2">
        <v>3</v>
      </c>
      <c r="AZ31" s="2">
        <v>169</v>
      </c>
      <c r="BA31" s="2">
        <v>7</v>
      </c>
      <c r="BB31" s="2">
        <v>5</v>
      </c>
      <c r="BC31" s="11" t="s">
        <v>15</v>
      </c>
      <c r="BD31" s="11" t="s">
        <v>425</v>
      </c>
      <c r="BE31" s="11">
        <v>70556</v>
      </c>
      <c r="BF31" s="11" t="s">
        <v>402</v>
      </c>
      <c r="BG31" s="11">
        <v>29</v>
      </c>
      <c r="BH31" s="11">
        <v>400</v>
      </c>
      <c r="BI31" s="11">
        <v>187</v>
      </c>
      <c r="BJ31" s="11">
        <v>187</v>
      </c>
      <c r="BK31" s="11">
        <v>2</v>
      </c>
      <c r="BL31" s="11">
        <v>185</v>
      </c>
      <c r="BM31" s="11">
        <v>144</v>
      </c>
      <c r="BN31" s="11">
        <v>6</v>
      </c>
      <c r="BO31" s="11">
        <v>1</v>
      </c>
      <c r="BP31" s="11">
        <v>10</v>
      </c>
      <c r="BQ31" s="11">
        <v>9</v>
      </c>
      <c r="BR31" s="11">
        <v>0</v>
      </c>
      <c r="BS31" s="11">
        <v>12</v>
      </c>
      <c r="BT31" s="11">
        <v>0</v>
      </c>
      <c r="BU31" s="11">
        <v>0</v>
      </c>
      <c r="BV31" s="11">
        <v>1</v>
      </c>
      <c r="BW31" s="11">
        <v>0</v>
      </c>
      <c r="BX31" s="11">
        <v>1</v>
      </c>
      <c r="BY31" s="11">
        <v>0</v>
      </c>
      <c r="BZ31" s="11">
        <v>0</v>
      </c>
      <c r="CA31" s="11">
        <v>0</v>
      </c>
      <c r="CB31" s="11">
        <v>0</v>
      </c>
      <c r="CC31" s="11">
        <v>1</v>
      </c>
      <c r="CD31" s="11">
        <v>0</v>
      </c>
      <c r="CE31">
        <v>151</v>
      </c>
      <c r="CF31">
        <v>19</v>
      </c>
      <c r="CG31">
        <v>14</v>
      </c>
      <c r="CH31">
        <v>0</v>
      </c>
      <c r="CI31">
        <v>1</v>
      </c>
      <c r="CJ31" s="14">
        <v>0.46750000000000003</v>
      </c>
      <c r="CK31" s="14">
        <v>0.80748663101604279</v>
      </c>
      <c r="CL31" s="14">
        <v>0.10160427807486631</v>
      </c>
      <c r="CM31" s="14">
        <v>7.4866310160427801E-2</v>
      </c>
      <c r="CN31" s="14">
        <v>0</v>
      </c>
      <c r="CO31" s="14">
        <v>5.3475935828877002E-3</v>
      </c>
      <c r="CP31" s="30">
        <v>5</v>
      </c>
      <c r="CQ31" s="15">
        <v>178</v>
      </c>
      <c r="CR31">
        <v>13</v>
      </c>
      <c r="CS31">
        <v>13</v>
      </c>
      <c r="CU31">
        <v>1</v>
      </c>
      <c r="CV31" s="14">
        <v>0.5</v>
      </c>
      <c r="CW31" s="14">
        <v>0.85990338164251212</v>
      </c>
      <c r="CX31" s="14">
        <v>6.280193236714976E-2</v>
      </c>
      <c r="CY31" s="14">
        <v>6.280193236714976E-2</v>
      </c>
      <c r="CZ31" s="14">
        <v>0</v>
      </c>
      <c r="DA31" s="14">
        <v>4.830917874396135E-3</v>
      </c>
      <c r="DB31" s="30">
        <v>6</v>
      </c>
      <c r="DC31" s="14" t="s">
        <v>476</v>
      </c>
      <c r="DD31" s="17" t="s">
        <v>437</v>
      </c>
      <c r="DE31" s="17" t="s">
        <v>438</v>
      </c>
      <c r="DF31" s="17" t="s">
        <v>455</v>
      </c>
      <c r="DG31" s="21">
        <v>114.09</v>
      </c>
      <c r="DH31" s="16">
        <v>400</v>
      </c>
      <c r="DI31" s="16">
        <v>0</v>
      </c>
      <c r="DJ31" s="16">
        <v>187</v>
      </c>
      <c r="DK31" s="23">
        <v>0.46750000000000003</v>
      </c>
      <c r="DL31" s="16">
        <v>1</v>
      </c>
      <c r="DM31">
        <v>5</v>
      </c>
      <c r="DN31" s="25"/>
      <c r="DO31" s="25"/>
      <c r="DP31" s="25"/>
      <c r="DQ31" s="26"/>
      <c r="DR31" s="26"/>
    </row>
    <row r="32" spans="1:122" ht="14.25" customHeight="1">
      <c r="A32" s="2">
        <v>4990</v>
      </c>
      <c r="B32" s="3" t="s">
        <v>197</v>
      </c>
      <c r="C32" s="3" t="s">
        <v>203</v>
      </c>
      <c r="D32" s="4">
        <v>30</v>
      </c>
      <c r="E32" s="3" t="s">
        <v>12</v>
      </c>
      <c r="F32" s="3" t="s">
        <v>278</v>
      </c>
      <c r="G32" s="4" t="s">
        <v>279</v>
      </c>
      <c r="H32" s="4" t="b">
        <v>1</v>
      </c>
      <c r="I32" s="4" t="b">
        <v>1</v>
      </c>
      <c r="J32" s="5" t="s">
        <v>279</v>
      </c>
      <c r="K32" s="5" t="s">
        <v>203</v>
      </c>
      <c r="L32" s="5" t="s">
        <v>12</v>
      </c>
      <c r="M32" s="5" t="s">
        <v>278</v>
      </c>
      <c r="N32" s="2" t="s">
        <v>15</v>
      </c>
      <c r="O32" s="2" t="s">
        <v>401</v>
      </c>
      <c r="P32" s="2">
        <v>70556</v>
      </c>
      <c r="Q32" s="2" t="s">
        <v>402</v>
      </c>
      <c r="R32" s="2">
        <v>140</v>
      </c>
      <c r="S32" s="2">
        <v>95</v>
      </c>
      <c r="T32" s="2">
        <v>95</v>
      </c>
      <c r="U32" s="2">
        <v>6</v>
      </c>
      <c r="V32" s="2">
        <v>89</v>
      </c>
      <c r="W32" s="2">
        <v>60</v>
      </c>
      <c r="X32" s="2">
        <v>9</v>
      </c>
      <c r="Y32" s="2">
        <v>0</v>
      </c>
      <c r="Z32" s="2">
        <v>0</v>
      </c>
      <c r="AA32" s="2">
        <v>5</v>
      </c>
      <c r="AB32" s="2">
        <v>4</v>
      </c>
      <c r="AC32" s="2">
        <v>2</v>
      </c>
      <c r="AD32" s="2">
        <v>0</v>
      </c>
      <c r="AE32" s="2">
        <v>1</v>
      </c>
      <c r="AF32" s="2">
        <v>3</v>
      </c>
      <c r="AG32" s="2">
        <v>4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1</v>
      </c>
      <c r="AP32" s="2">
        <v>140</v>
      </c>
      <c r="AQ32" s="2">
        <v>95</v>
      </c>
      <c r="AR32" s="2">
        <v>95</v>
      </c>
      <c r="AS32" s="2">
        <v>4</v>
      </c>
      <c r="AT32" s="2">
        <v>91</v>
      </c>
      <c r="AU32" s="2">
        <v>5</v>
      </c>
      <c r="AV32" s="2">
        <v>1</v>
      </c>
      <c r="AW32" s="2">
        <v>2</v>
      </c>
      <c r="AX32" s="2">
        <v>3</v>
      </c>
      <c r="AY32" s="2">
        <v>1</v>
      </c>
      <c r="AZ32" s="2">
        <v>71</v>
      </c>
      <c r="BA32" s="2">
        <v>4</v>
      </c>
      <c r="BB32" s="2">
        <v>4</v>
      </c>
      <c r="BC32" s="11" t="s">
        <v>15</v>
      </c>
      <c r="BD32" s="11" t="s">
        <v>425</v>
      </c>
      <c r="BE32" s="11">
        <v>70556</v>
      </c>
      <c r="BF32" s="11" t="s">
        <v>402</v>
      </c>
      <c r="BG32" s="11">
        <v>30</v>
      </c>
      <c r="BH32" s="11">
        <v>128</v>
      </c>
      <c r="BI32" s="11">
        <v>68</v>
      </c>
      <c r="BJ32" s="11">
        <v>68</v>
      </c>
      <c r="BK32" s="11">
        <v>3</v>
      </c>
      <c r="BL32" s="11">
        <v>65</v>
      </c>
      <c r="BM32" s="11">
        <v>43</v>
      </c>
      <c r="BN32" s="11">
        <v>10</v>
      </c>
      <c r="BO32" s="11">
        <v>1</v>
      </c>
      <c r="BP32" s="11">
        <v>5</v>
      </c>
      <c r="BQ32" s="11">
        <v>0</v>
      </c>
      <c r="BR32" s="11">
        <v>0</v>
      </c>
      <c r="BS32" s="11">
        <v>4</v>
      </c>
      <c r="BT32" s="11">
        <v>0</v>
      </c>
      <c r="BU32" s="11">
        <v>0</v>
      </c>
      <c r="BV32" s="11">
        <v>0</v>
      </c>
      <c r="BW32" s="11">
        <v>0</v>
      </c>
      <c r="BX32" s="11">
        <v>2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>
        <v>54</v>
      </c>
      <c r="CF32">
        <v>5</v>
      </c>
      <c r="CG32">
        <v>6</v>
      </c>
      <c r="CH32">
        <v>0</v>
      </c>
      <c r="CI32">
        <v>0</v>
      </c>
      <c r="CJ32" s="14">
        <v>0.53125</v>
      </c>
      <c r="CK32" s="14">
        <v>0.79411764705882348</v>
      </c>
      <c r="CL32" s="14">
        <v>7.3529411764705885E-2</v>
      </c>
      <c r="CM32" s="14">
        <v>8.8235294117647065E-2</v>
      </c>
      <c r="CN32" s="14">
        <v>0</v>
      </c>
      <c r="CO32" s="14">
        <v>0</v>
      </c>
      <c r="CP32" s="30">
        <v>6</v>
      </c>
      <c r="CQ32" s="15">
        <v>69</v>
      </c>
      <c r="CR32">
        <v>13</v>
      </c>
      <c r="CS32">
        <v>6</v>
      </c>
      <c r="CU32">
        <v>1</v>
      </c>
      <c r="CV32" s="14">
        <v>0.6785714285714286</v>
      </c>
      <c r="CW32" s="14">
        <v>0.72631578947368425</v>
      </c>
      <c r="CX32" s="14">
        <v>0.1368421052631579</v>
      </c>
      <c r="CY32" s="14">
        <v>6.3157894736842107E-2</v>
      </c>
      <c r="CZ32" s="14">
        <v>0</v>
      </c>
      <c r="DA32" s="14">
        <v>1.0526315789473684E-2</v>
      </c>
      <c r="DB32" s="30">
        <v>8</v>
      </c>
      <c r="DC32" s="14" t="s">
        <v>478</v>
      </c>
      <c r="DD32" s="17" t="s">
        <v>438</v>
      </c>
      <c r="DE32" s="17" t="s">
        <v>439</v>
      </c>
      <c r="DF32" s="17" t="s">
        <v>452</v>
      </c>
      <c r="DG32" s="21">
        <v>34.96</v>
      </c>
      <c r="DH32" s="16">
        <v>128</v>
      </c>
      <c r="DI32" s="16">
        <v>0</v>
      </c>
      <c r="DJ32" s="16">
        <v>68</v>
      </c>
      <c r="DK32" s="23">
        <v>0.53125</v>
      </c>
      <c r="DL32" s="16">
        <v>1</v>
      </c>
      <c r="DM32">
        <v>6</v>
      </c>
      <c r="DN32" s="25"/>
      <c r="DO32" s="25"/>
      <c r="DP32" s="25"/>
      <c r="DQ32" s="26"/>
      <c r="DR32" s="26"/>
    </row>
    <row r="33" spans="1:122" ht="14.25" customHeight="1">
      <c r="A33" s="2">
        <v>4991</v>
      </c>
      <c r="B33" s="3" t="s">
        <v>197</v>
      </c>
      <c r="C33" s="3" t="s">
        <v>203</v>
      </c>
      <c r="D33" s="4">
        <v>31</v>
      </c>
      <c r="E33" s="3" t="s">
        <v>12</v>
      </c>
      <c r="F33" s="3" t="s">
        <v>280</v>
      </c>
      <c r="G33" s="4" t="s">
        <v>281</v>
      </c>
      <c r="H33" s="4" t="b">
        <v>1</v>
      </c>
      <c r="I33" s="4" t="b">
        <v>1</v>
      </c>
      <c r="J33" s="5" t="s">
        <v>281</v>
      </c>
      <c r="K33" s="5" t="s">
        <v>203</v>
      </c>
      <c r="L33" s="5" t="s">
        <v>12</v>
      </c>
      <c r="M33" s="5" t="s">
        <v>280</v>
      </c>
      <c r="N33" s="2" t="s">
        <v>15</v>
      </c>
      <c r="O33" s="2" t="s">
        <v>401</v>
      </c>
      <c r="P33" s="2">
        <v>70556</v>
      </c>
      <c r="Q33" s="2" t="s">
        <v>402</v>
      </c>
      <c r="R33" s="2">
        <v>280</v>
      </c>
      <c r="S33" s="2">
        <v>134</v>
      </c>
      <c r="T33" s="2">
        <v>134</v>
      </c>
      <c r="U33" s="2">
        <v>1</v>
      </c>
      <c r="V33" s="2">
        <v>133</v>
      </c>
      <c r="W33" s="2">
        <v>65</v>
      </c>
      <c r="X33" s="2">
        <v>25</v>
      </c>
      <c r="Y33" s="2">
        <v>0</v>
      </c>
      <c r="Z33" s="2">
        <v>1</v>
      </c>
      <c r="AA33" s="2">
        <v>6</v>
      </c>
      <c r="AB33" s="2">
        <v>23</v>
      </c>
      <c r="AC33" s="2">
        <v>2</v>
      </c>
      <c r="AD33" s="2">
        <v>0</v>
      </c>
      <c r="AE33" s="2">
        <v>0</v>
      </c>
      <c r="AF33" s="2">
        <v>2</v>
      </c>
      <c r="AG33" s="2">
        <v>9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280</v>
      </c>
      <c r="AQ33" s="2">
        <v>134</v>
      </c>
      <c r="AR33" s="2">
        <v>134</v>
      </c>
      <c r="AS33" s="2">
        <v>2</v>
      </c>
      <c r="AT33" s="2">
        <v>132</v>
      </c>
      <c r="AU33" s="2">
        <v>0</v>
      </c>
      <c r="AV33" s="2">
        <v>0</v>
      </c>
      <c r="AW33" s="2">
        <v>3</v>
      </c>
      <c r="AX33" s="2">
        <v>9</v>
      </c>
      <c r="AY33" s="2">
        <v>3</v>
      </c>
      <c r="AZ33" s="2">
        <v>109</v>
      </c>
      <c r="BA33" s="2">
        <v>1</v>
      </c>
      <c r="BB33" s="2">
        <v>7</v>
      </c>
      <c r="BC33" s="11" t="s">
        <v>15</v>
      </c>
      <c r="BD33" s="11" t="s">
        <v>425</v>
      </c>
      <c r="BE33" s="11">
        <v>70556</v>
      </c>
      <c r="BF33" s="11" t="s">
        <v>402</v>
      </c>
      <c r="BG33" s="11">
        <v>31</v>
      </c>
      <c r="BH33" s="11">
        <v>277</v>
      </c>
      <c r="BI33" s="11">
        <v>133</v>
      </c>
      <c r="BJ33" s="11">
        <v>133</v>
      </c>
      <c r="BK33" s="11">
        <v>0</v>
      </c>
      <c r="BL33" s="11">
        <v>133</v>
      </c>
      <c r="BM33" s="11">
        <v>90</v>
      </c>
      <c r="BN33" s="11">
        <v>21</v>
      </c>
      <c r="BO33" s="11">
        <v>3</v>
      </c>
      <c r="BP33" s="11">
        <v>2</v>
      </c>
      <c r="BQ33" s="11">
        <v>6</v>
      </c>
      <c r="BR33" s="11">
        <v>0</v>
      </c>
      <c r="BS33" s="11">
        <v>8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1</v>
      </c>
      <c r="CA33" s="11">
        <v>0</v>
      </c>
      <c r="CB33" s="11">
        <v>0</v>
      </c>
      <c r="CC33" s="11">
        <v>2</v>
      </c>
      <c r="CD33" s="11">
        <v>0</v>
      </c>
      <c r="CE33">
        <v>114</v>
      </c>
      <c r="CF33">
        <v>8</v>
      </c>
      <c r="CG33">
        <v>10</v>
      </c>
      <c r="CH33">
        <v>1</v>
      </c>
      <c r="CI33">
        <v>0</v>
      </c>
      <c r="CJ33" s="14">
        <v>0.48014440433212996</v>
      </c>
      <c r="CK33" s="14">
        <v>0.8571428571428571</v>
      </c>
      <c r="CL33" s="14">
        <v>6.0150375939849621E-2</v>
      </c>
      <c r="CM33" s="14">
        <v>7.5187969924812026E-2</v>
      </c>
      <c r="CN33" s="14">
        <v>7.5187969924812026E-3</v>
      </c>
      <c r="CO33" s="14">
        <v>0</v>
      </c>
      <c r="CP33" s="30">
        <v>5</v>
      </c>
      <c r="CQ33" s="15">
        <v>91</v>
      </c>
      <c r="CR33">
        <v>36</v>
      </c>
      <c r="CS33">
        <v>6</v>
      </c>
      <c r="CU33">
        <v>0</v>
      </c>
      <c r="CV33" s="14">
        <v>0.47857142857142859</v>
      </c>
      <c r="CW33" s="14">
        <v>0.67910447761194026</v>
      </c>
      <c r="CX33" s="14">
        <v>0.26865671641791045</v>
      </c>
      <c r="CY33" s="14">
        <v>4.4776119402985072E-2</v>
      </c>
      <c r="CZ33" s="14">
        <v>0</v>
      </c>
      <c r="DA33" s="14">
        <v>0</v>
      </c>
      <c r="DB33" s="30">
        <v>3</v>
      </c>
      <c r="DC33" s="14" t="s">
        <v>473</v>
      </c>
      <c r="DD33" s="17" t="s">
        <v>437</v>
      </c>
      <c r="DE33" s="17" t="s">
        <v>435</v>
      </c>
      <c r="DF33" s="17" t="s">
        <v>457</v>
      </c>
      <c r="DG33" s="21">
        <v>79.94</v>
      </c>
      <c r="DH33" s="16">
        <v>277</v>
      </c>
      <c r="DI33" s="16">
        <v>0</v>
      </c>
      <c r="DJ33" s="16">
        <v>133</v>
      </c>
      <c r="DK33" s="23">
        <v>0.48014440433212996</v>
      </c>
      <c r="DL33" s="16">
        <v>1</v>
      </c>
      <c r="DM33">
        <v>5</v>
      </c>
      <c r="DN33" s="25"/>
      <c r="DO33" s="25"/>
      <c r="DP33" s="25"/>
      <c r="DQ33" s="26"/>
      <c r="DR33" s="26"/>
    </row>
    <row r="34" spans="1:122" ht="14.25" customHeight="1">
      <c r="A34" s="2">
        <v>4992</v>
      </c>
      <c r="B34" s="3" t="s">
        <v>197</v>
      </c>
      <c r="C34" s="3" t="s">
        <v>203</v>
      </c>
      <c r="D34" s="4">
        <v>32</v>
      </c>
      <c r="E34" s="3" t="s">
        <v>23</v>
      </c>
      <c r="F34" s="3" t="s">
        <v>282</v>
      </c>
      <c r="G34" s="4" t="s">
        <v>283</v>
      </c>
      <c r="H34" s="4" t="b">
        <v>1</v>
      </c>
      <c r="I34" s="4" t="b">
        <v>1</v>
      </c>
      <c r="J34" s="5" t="s">
        <v>283</v>
      </c>
      <c r="K34" s="5" t="s">
        <v>203</v>
      </c>
      <c r="L34" s="5" t="s">
        <v>23</v>
      </c>
      <c r="M34" s="5" t="s">
        <v>282</v>
      </c>
      <c r="N34" s="2" t="s">
        <v>15</v>
      </c>
      <c r="O34" s="2" t="s">
        <v>401</v>
      </c>
      <c r="P34" s="2">
        <v>70556</v>
      </c>
      <c r="Q34" s="2" t="s">
        <v>402</v>
      </c>
      <c r="R34" s="2">
        <v>524</v>
      </c>
      <c r="S34" s="2">
        <v>278</v>
      </c>
      <c r="T34" s="2">
        <v>278</v>
      </c>
      <c r="U34" s="2">
        <v>4</v>
      </c>
      <c r="V34" s="2">
        <v>274</v>
      </c>
      <c r="W34" s="2">
        <v>180</v>
      </c>
      <c r="X34" s="2">
        <v>42</v>
      </c>
      <c r="Y34" s="2">
        <v>2</v>
      </c>
      <c r="Z34" s="2">
        <v>7</v>
      </c>
      <c r="AA34" s="2">
        <v>5</v>
      </c>
      <c r="AB34" s="2">
        <v>5</v>
      </c>
      <c r="AC34" s="2">
        <v>12</v>
      </c>
      <c r="AD34" s="2">
        <v>1</v>
      </c>
      <c r="AE34" s="2">
        <v>7</v>
      </c>
      <c r="AF34" s="2">
        <v>0</v>
      </c>
      <c r="AG34" s="2">
        <v>7</v>
      </c>
      <c r="AH34" s="2">
        <v>0</v>
      </c>
      <c r="AI34" s="2">
        <v>0</v>
      </c>
      <c r="AJ34" s="2">
        <v>6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524</v>
      </c>
      <c r="AQ34" s="2">
        <v>279</v>
      </c>
      <c r="AR34" s="2">
        <v>279</v>
      </c>
      <c r="AS34" s="2">
        <v>3</v>
      </c>
      <c r="AT34" s="2">
        <v>276</v>
      </c>
      <c r="AU34" s="2">
        <v>4</v>
      </c>
      <c r="AV34" s="2">
        <v>3</v>
      </c>
      <c r="AW34" s="2">
        <v>0</v>
      </c>
      <c r="AX34" s="2">
        <v>8</v>
      </c>
      <c r="AY34" s="2">
        <v>16</v>
      </c>
      <c r="AZ34" s="2">
        <v>227</v>
      </c>
      <c r="BA34" s="2">
        <v>4</v>
      </c>
      <c r="BB34" s="2">
        <v>14</v>
      </c>
      <c r="BC34" s="11" t="s">
        <v>15</v>
      </c>
      <c r="BD34" s="11" t="s">
        <v>425</v>
      </c>
      <c r="BE34" s="11">
        <v>70556</v>
      </c>
      <c r="BF34" s="11" t="s">
        <v>402</v>
      </c>
      <c r="BG34" s="11">
        <v>32</v>
      </c>
      <c r="BH34" s="11">
        <v>498</v>
      </c>
      <c r="BI34" s="11">
        <v>242</v>
      </c>
      <c r="BJ34" s="11">
        <v>242</v>
      </c>
      <c r="BK34" s="11">
        <v>6</v>
      </c>
      <c r="BL34" s="11">
        <v>236</v>
      </c>
      <c r="BM34" s="11">
        <v>179</v>
      </c>
      <c r="BN34" s="11">
        <v>18</v>
      </c>
      <c r="BO34" s="11">
        <v>3</v>
      </c>
      <c r="BP34" s="11">
        <v>1</v>
      </c>
      <c r="BQ34" s="11">
        <v>2</v>
      </c>
      <c r="BR34" s="11">
        <v>0</v>
      </c>
      <c r="BS34" s="11">
        <v>24</v>
      </c>
      <c r="BT34" s="11">
        <v>0</v>
      </c>
      <c r="BU34" s="11">
        <v>0</v>
      </c>
      <c r="BV34" s="11">
        <v>0</v>
      </c>
      <c r="BW34" s="11">
        <v>0</v>
      </c>
      <c r="BX34" s="11">
        <v>1</v>
      </c>
      <c r="BY34" s="11">
        <v>0</v>
      </c>
      <c r="BZ34" s="11">
        <v>8</v>
      </c>
      <c r="CA34" s="11">
        <v>0</v>
      </c>
      <c r="CB34" s="11">
        <v>0</v>
      </c>
      <c r="CC34" s="11">
        <v>0</v>
      </c>
      <c r="CD34" s="11">
        <v>0</v>
      </c>
      <c r="CE34">
        <v>200</v>
      </c>
      <c r="CF34">
        <v>3</v>
      </c>
      <c r="CG34">
        <v>25</v>
      </c>
      <c r="CH34">
        <v>8</v>
      </c>
      <c r="CI34">
        <v>0</v>
      </c>
      <c r="CJ34" s="14">
        <v>0.4859437751004016</v>
      </c>
      <c r="CK34" s="14">
        <v>0.82644628099173556</v>
      </c>
      <c r="CL34" s="14">
        <v>1.2396694214876033E-2</v>
      </c>
      <c r="CM34" s="14">
        <v>0.10330578512396695</v>
      </c>
      <c r="CN34" s="14">
        <v>3.3057851239669422E-2</v>
      </c>
      <c r="CO34" s="14">
        <v>0</v>
      </c>
      <c r="CP34" s="30">
        <v>5</v>
      </c>
      <c r="CQ34" s="15">
        <v>229</v>
      </c>
      <c r="CR34">
        <v>24</v>
      </c>
      <c r="CS34">
        <v>18</v>
      </c>
      <c r="CU34">
        <v>3</v>
      </c>
      <c r="CV34" s="14">
        <v>0.53053435114503822</v>
      </c>
      <c r="CW34" s="14">
        <v>0.82374100719424459</v>
      </c>
      <c r="CX34" s="14">
        <v>8.6330935251798566E-2</v>
      </c>
      <c r="CY34" s="14">
        <v>6.4748201438848921E-2</v>
      </c>
      <c r="CZ34" s="14">
        <v>0</v>
      </c>
      <c r="DA34" s="14">
        <v>1.0791366906474821E-2</v>
      </c>
      <c r="DB34" s="30">
        <v>6</v>
      </c>
      <c r="DC34" s="14" t="s">
        <v>476</v>
      </c>
      <c r="DD34" s="17" t="s">
        <v>437</v>
      </c>
      <c r="DE34" s="17" t="s">
        <v>438</v>
      </c>
      <c r="DF34" s="17" t="s">
        <v>455</v>
      </c>
      <c r="DG34" s="21">
        <v>141.51999999999998</v>
      </c>
      <c r="DH34" s="16">
        <v>498</v>
      </c>
      <c r="DI34" s="16">
        <v>0</v>
      </c>
      <c r="DJ34" s="16">
        <v>242</v>
      </c>
      <c r="DK34" s="23">
        <v>0.4859437751004016</v>
      </c>
      <c r="DL34" s="16">
        <v>1</v>
      </c>
      <c r="DM34">
        <v>5</v>
      </c>
      <c r="DN34" s="25"/>
      <c r="DO34" s="25"/>
      <c r="DP34" s="25"/>
      <c r="DQ34" s="26"/>
      <c r="DR34" s="26"/>
    </row>
    <row r="35" spans="1:122" ht="14.25" customHeight="1">
      <c r="A35" s="2">
        <v>4993</v>
      </c>
      <c r="B35" s="3" t="s">
        <v>197</v>
      </c>
      <c r="C35" s="3" t="s">
        <v>203</v>
      </c>
      <c r="D35" s="4">
        <v>33</v>
      </c>
      <c r="E35" s="3" t="s">
        <v>23</v>
      </c>
      <c r="F35" s="3" t="s">
        <v>284</v>
      </c>
      <c r="G35" s="4" t="s">
        <v>285</v>
      </c>
      <c r="H35" s="4" t="b">
        <v>1</v>
      </c>
      <c r="I35" s="4" t="b">
        <v>1</v>
      </c>
      <c r="J35" s="5" t="s">
        <v>285</v>
      </c>
      <c r="K35" s="5" t="s">
        <v>203</v>
      </c>
      <c r="L35" s="5" t="s">
        <v>23</v>
      </c>
      <c r="M35" s="5" t="s">
        <v>284</v>
      </c>
      <c r="N35" s="2" t="s">
        <v>15</v>
      </c>
      <c r="O35" s="2" t="s">
        <v>401</v>
      </c>
      <c r="P35" s="2">
        <v>70556</v>
      </c>
      <c r="Q35" s="2" t="s">
        <v>402</v>
      </c>
      <c r="R35" s="2">
        <v>948</v>
      </c>
      <c r="S35" s="2">
        <v>457</v>
      </c>
      <c r="T35" s="2">
        <v>457</v>
      </c>
      <c r="U35" s="2">
        <v>19</v>
      </c>
      <c r="V35" s="2">
        <v>438</v>
      </c>
      <c r="W35" s="2">
        <v>201</v>
      </c>
      <c r="X35" s="2">
        <v>48</v>
      </c>
      <c r="Y35" s="2">
        <v>1</v>
      </c>
      <c r="Z35" s="2">
        <v>12</v>
      </c>
      <c r="AA35" s="2">
        <v>28</v>
      </c>
      <c r="AB35" s="2">
        <v>20</v>
      </c>
      <c r="AC35" s="2">
        <v>26</v>
      </c>
      <c r="AD35" s="2">
        <v>0</v>
      </c>
      <c r="AE35" s="2">
        <v>15</v>
      </c>
      <c r="AF35" s="2">
        <v>38</v>
      </c>
      <c r="AG35" s="2">
        <v>44</v>
      </c>
      <c r="AH35" s="2">
        <v>1</v>
      </c>
      <c r="AI35" s="2">
        <v>0</v>
      </c>
      <c r="AJ35" s="2">
        <v>0</v>
      </c>
      <c r="AK35" s="2">
        <v>1</v>
      </c>
      <c r="AL35" s="2">
        <v>0</v>
      </c>
      <c r="AM35" s="2">
        <v>3</v>
      </c>
      <c r="AN35" s="2">
        <v>0</v>
      </c>
      <c r="AO35" s="2">
        <v>0</v>
      </c>
      <c r="AP35" s="2">
        <v>948</v>
      </c>
      <c r="AQ35" s="2">
        <v>457</v>
      </c>
      <c r="AR35" s="2">
        <v>457</v>
      </c>
      <c r="AS35" s="2">
        <v>11</v>
      </c>
      <c r="AT35" s="2">
        <v>446</v>
      </c>
      <c r="AU35" s="2">
        <v>6</v>
      </c>
      <c r="AV35" s="2">
        <v>12</v>
      </c>
      <c r="AW35" s="2">
        <v>32</v>
      </c>
      <c r="AX35" s="2">
        <v>44</v>
      </c>
      <c r="AY35" s="2">
        <v>28</v>
      </c>
      <c r="AZ35" s="2">
        <v>252</v>
      </c>
      <c r="BA35" s="2">
        <v>19</v>
      </c>
      <c r="BB35" s="2">
        <v>53</v>
      </c>
      <c r="BC35" s="11" t="s">
        <v>15</v>
      </c>
      <c r="BD35" s="11" t="s">
        <v>425</v>
      </c>
      <c r="BE35" s="11">
        <v>70556</v>
      </c>
      <c r="BF35" s="11" t="s">
        <v>402</v>
      </c>
      <c r="BG35" s="11">
        <v>33</v>
      </c>
      <c r="BH35" s="11">
        <v>943</v>
      </c>
      <c r="BI35" s="11">
        <v>441</v>
      </c>
      <c r="BJ35" s="11">
        <v>441</v>
      </c>
      <c r="BK35" s="11">
        <v>12</v>
      </c>
      <c r="BL35" s="11">
        <v>429</v>
      </c>
      <c r="BM35" s="11">
        <v>229</v>
      </c>
      <c r="BN35" s="11">
        <v>22</v>
      </c>
      <c r="BO35" s="11">
        <v>10</v>
      </c>
      <c r="BP35" s="11">
        <v>20</v>
      </c>
      <c r="BQ35" s="11">
        <v>19</v>
      </c>
      <c r="BR35" s="11">
        <v>1</v>
      </c>
      <c r="BS35" s="11">
        <v>74</v>
      </c>
      <c r="BT35" s="11">
        <v>1</v>
      </c>
      <c r="BU35" s="11">
        <v>0</v>
      </c>
      <c r="BV35" s="11">
        <v>1</v>
      </c>
      <c r="BW35" s="11">
        <v>3</v>
      </c>
      <c r="BX35" s="11">
        <v>12</v>
      </c>
      <c r="BY35" s="11">
        <v>1</v>
      </c>
      <c r="BZ35" s="11">
        <v>29</v>
      </c>
      <c r="CA35" s="11">
        <v>0</v>
      </c>
      <c r="CB35" s="11">
        <v>5</v>
      </c>
      <c r="CC35" s="11">
        <v>2</v>
      </c>
      <c r="CD35" s="11">
        <v>0</v>
      </c>
      <c r="CE35">
        <v>261</v>
      </c>
      <c r="CF35">
        <v>42</v>
      </c>
      <c r="CG35">
        <v>88</v>
      </c>
      <c r="CH35">
        <v>29</v>
      </c>
      <c r="CI35">
        <v>9</v>
      </c>
      <c r="CJ35" s="14">
        <v>0.46765641569459171</v>
      </c>
      <c r="CK35" s="14">
        <v>0.59183673469387754</v>
      </c>
      <c r="CL35" s="14">
        <v>9.5238095238095233E-2</v>
      </c>
      <c r="CM35" s="14">
        <v>0.19954648526077098</v>
      </c>
      <c r="CN35" s="14">
        <v>6.5759637188208611E-2</v>
      </c>
      <c r="CO35" s="14">
        <v>2.0408163265306121E-2</v>
      </c>
      <c r="CP35" s="30">
        <v>5</v>
      </c>
      <c r="CQ35" s="15">
        <v>261</v>
      </c>
      <c r="CR35">
        <v>128</v>
      </c>
      <c r="CS35">
        <v>47</v>
      </c>
      <c r="CU35">
        <v>2</v>
      </c>
      <c r="CV35" s="14">
        <v>0.4820675105485232</v>
      </c>
      <c r="CW35" s="14">
        <v>0.57111597374179435</v>
      </c>
      <c r="CX35" s="14">
        <v>0.28008752735229758</v>
      </c>
      <c r="CY35" s="14">
        <v>0.10284463894967177</v>
      </c>
      <c r="CZ35" s="14">
        <v>0</v>
      </c>
      <c r="DA35" s="14">
        <v>4.3763676148796497E-3</v>
      </c>
      <c r="DB35" s="30">
        <v>3</v>
      </c>
      <c r="DC35" s="14" t="s">
        <v>473</v>
      </c>
      <c r="DD35" s="17" t="s">
        <v>437</v>
      </c>
      <c r="DE35" s="17" t="s">
        <v>435</v>
      </c>
      <c r="DF35" s="17" t="s">
        <v>457</v>
      </c>
      <c r="DG35" s="21">
        <v>336.72</v>
      </c>
      <c r="DH35" s="22">
        <v>943</v>
      </c>
      <c r="DI35" s="16">
        <v>1</v>
      </c>
      <c r="DJ35" s="16">
        <v>441</v>
      </c>
      <c r="DK35" s="23">
        <v>0.46765641569459171</v>
      </c>
      <c r="DL35" s="16">
        <v>1</v>
      </c>
      <c r="DM35">
        <v>5</v>
      </c>
      <c r="DN35" s="24"/>
      <c r="DO35" s="25"/>
      <c r="DP35" s="25"/>
      <c r="DQ35" s="27"/>
      <c r="DR35" s="26"/>
    </row>
    <row r="36" spans="1:122" ht="14.25" customHeight="1">
      <c r="A36" s="2">
        <v>4994</v>
      </c>
      <c r="B36" s="3" t="s">
        <v>197</v>
      </c>
      <c r="C36" s="3" t="s">
        <v>203</v>
      </c>
      <c r="D36" s="4">
        <v>34</v>
      </c>
      <c r="E36" s="3" t="s">
        <v>286</v>
      </c>
      <c r="F36" s="3" t="s">
        <v>287</v>
      </c>
      <c r="G36" s="4" t="s">
        <v>288</v>
      </c>
      <c r="H36" s="4" t="b">
        <v>1</v>
      </c>
      <c r="I36" s="4" t="b">
        <v>1</v>
      </c>
      <c r="J36" s="5" t="s">
        <v>288</v>
      </c>
      <c r="K36" s="5" t="s">
        <v>203</v>
      </c>
      <c r="L36" s="5" t="s">
        <v>286</v>
      </c>
      <c r="M36" s="5" t="s">
        <v>287</v>
      </c>
      <c r="N36" s="2" t="s">
        <v>15</v>
      </c>
      <c r="O36" s="2" t="s">
        <v>401</v>
      </c>
      <c r="P36" s="2">
        <v>70556</v>
      </c>
      <c r="Q36" s="2" t="s">
        <v>402</v>
      </c>
      <c r="R36" s="2">
        <v>1031</v>
      </c>
      <c r="S36" s="2">
        <v>546</v>
      </c>
      <c r="T36" s="2">
        <v>546</v>
      </c>
      <c r="U36" s="2">
        <v>22</v>
      </c>
      <c r="V36" s="2">
        <v>524</v>
      </c>
      <c r="W36" s="2">
        <v>264</v>
      </c>
      <c r="X36" s="2">
        <v>74</v>
      </c>
      <c r="Y36" s="2">
        <v>1</v>
      </c>
      <c r="Z36" s="2">
        <v>22</v>
      </c>
      <c r="AA36" s="2">
        <v>31</v>
      </c>
      <c r="AB36" s="2">
        <v>53</v>
      </c>
      <c r="AC36" s="2">
        <v>14</v>
      </c>
      <c r="AD36" s="2">
        <v>1</v>
      </c>
      <c r="AE36" s="2">
        <v>15</v>
      </c>
      <c r="AF36" s="2">
        <v>8</v>
      </c>
      <c r="AG36" s="2">
        <v>30</v>
      </c>
      <c r="AH36" s="2">
        <v>0</v>
      </c>
      <c r="AI36" s="2">
        <v>2</v>
      </c>
      <c r="AJ36" s="2">
        <v>4</v>
      </c>
      <c r="AK36" s="2">
        <v>0</v>
      </c>
      <c r="AL36" s="2">
        <v>0</v>
      </c>
      <c r="AM36" s="2">
        <v>2</v>
      </c>
      <c r="AN36" s="2">
        <v>0</v>
      </c>
      <c r="AO36" s="2">
        <v>3</v>
      </c>
      <c r="AP36" s="2">
        <v>1031</v>
      </c>
      <c r="AQ36" s="2">
        <v>546</v>
      </c>
      <c r="AR36" s="2">
        <v>546</v>
      </c>
      <c r="AS36" s="2">
        <v>7</v>
      </c>
      <c r="AT36" s="2">
        <v>539</v>
      </c>
      <c r="AU36" s="2">
        <v>14</v>
      </c>
      <c r="AV36" s="2">
        <v>15</v>
      </c>
      <c r="AW36" s="2">
        <v>12</v>
      </c>
      <c r="AX36" s="2">
        <v>43</v>
      </c>
      <c r="AY36" s="2">
        <v>16</v>
      </c>
      <c r="AZ36" s="2">
        <v>348</v>
      </c>
      <c r="BA36" s="2">
        <v>53</v>
      </c>
      <c r="BB36" s="2">
        <v>38</v>
      </c>
      <c r="BC36" s="11" t="s">
        <v>15</v>
      </c>
      <c r="BD36" s="11" t="s">
        <v>425</v>
      </c>
      <c r="BE36" s="11">
        <v>70556</v>
      </c>
      <c r="BF36" s="11" t="s">
        <v>402</v>
      </c>
      <c r="BG36" s="11">
        <v>34</v>
      </c>
      <c r="BH36" s="11">
        <v>1007</v>
      </c>
      <c r="BI36" s="11">
        <v>512</v>
      </c>
      <c r="BJ36" s="11">
        <v>512</v>
      </c>
      <c r="BK36" s="11">
        <v>22</v>
      </c>
      <c r="BL36" s="11">
        <v>490</v>
      </c>
      <c r="BM36" s="11">
        <v>263</v>
      </c>
      <c r="BN36" s="11">
        <v>38</v>
      </c>
      <c r="BO36" s="11">
        <v>14</v>
      </c>
      <c r="BP36" s="11">
        <v>24</v>
      </c>
      <c r="BQ36" s="11">
        <v>59</v>
      </c>
      <c r="BR36" s="11">
        <v>1</v>
      </c>
      <c r="BS36" s="11">
        <v>72</v>
      </c>
      <c r="BT36" s="11">
        <v>0</v>
      </c>
      <c r="BU36" s="11">
        <v>0</v>
      </c>
      <c r="BV36" s="11">
        <v>1</v>
      </c>
      <c r="BW36" s="11">
        <v>0</v>
      </c>
      <c r="BX36" s="11">
        <v>4</v>
      </c>
      <c r="BY36" s="11">
        <v>0</v>
      </c>
      <c r="BZ36" s="11">
        <v>13</v>
      </c>
      <c r="CA36" s="11">
        <v>0</v>
      </c>
      <c r="CB36" s="11">
        <v>0</v>
      </c>
      <c r="CC36" s="11">
        <v>0</v>
      </c>
      <c r="CD36" s="11">
        <v>1</v>
      </c>
      <c r="CE36">
        <v>315</v>
      </c>
      <c r="CF36">
        <v>83</v>
      </c>
      <c r="CG36">
        <v>76</v>
      </c>
      <c r="CH36">
        <v>13</v>
      </c>
      <c r="CI36">
        <v>3</v>
      </c>
      <c r="CJ36" s="14">
        <v>0.50844091360476662</v>
      </c>
      <c r="CK36" s="14">
        <v>0.615234375</v>
      </c>
      <c r="CL36" s="14">
        <v>0.162109375</v>
      </c>
      <c r="CM36" s="14">
        <v>0.1484375</v>
      </c>
      <c r="CN36" s="14">
        <v>2.5390625E-2</v>
      </c>
      <c r="CO36" s="14">
        <v>5.859375E-3</v>
      </c>
      <c r="CP36" s="30">
        <v>3</v>
      </c>
      <c r="CQ36" s="15">
        <v>360</v>
      </c>
      <c r="CR36">
        <v>105</v>
      </c>
      <c r="CS36">
        <v>52</v>
      </c>
      <c r="CU36">
        <v>7</v>
      </c>
      <c r="CV36" s="14">
        <v>0.52958292919495631</v>
      </c>
      <c r="CW36" s="14">
        <v>0.65934065934065933</v>
      </c>
      <c r="CX36" s="14">
        <v>0.19230769230769232</v>
      </c>
      <c r="CY36" s="14">
        <v>9.5238095238095233E-2</v>
      </c>
      <c r="CZ36" s="14">
        <v>0</v>
      </c>
      <c r="DA36" s="14">
        <v>1.282051282051282E-2</v>
      </c>
      <c r="DB36" s="30">
        <v>3</v>
      </c>
      <c r="DC36" s="14" t="s">
        <v>469</v>
      </c>
      <c r="DD36" s="17" t="s">
        <v>435</v>
      </c>
      <c r="DE36" s="17" t="s">
        <v>435</v>
      </c>
      <c r="DF36" s="17" t="s">
        <v>446</v>
      </c>
      <c r="DG36" s="21">
        <v>344.74</v>
      </c>
      <c r="DH36" s="22">
        <v>1007</v>
      </c>
      <c r="DI36" s="16">
        <v>1</v>
      </c>
      <c r="DJ36" s="16">
        <v>512</v>
      </c>
      <c r="DK36" s="23">
        <v>0.50844091360476662</v>
      </c>
      <c r="DL36" s="16">
        <v>1</v>
      </c>
      <c r="DM36">
        <v>4</v>
      </c>
      <c r="DN36" s="24"/>
      <c r="DO36" s="25"/>
      <c r="DP36" s="25"/>
      <c r="DQ36" s="27"/>
      <c r="DR36" s="26"/>
    </row>
    <row r="37" spans="1:122" ht="14.25" customHeight="1">
      <c r="A37" s="2">
        <v>4995</v>
      </c>
      <c r="B37" s="3" t="s">
        <v>197</v>
      </c>
      <c r="C37" s="3" t="s">
        <v>203</v>
      </c>
      <c r="D37" s="4">
        <v>35</v>
      </c>
      <c r="E37" s="3" t="s">
        <v>289</v>
      </c>
      <c r="F37" s="3" t="s">
        <v>290</v>
      </c>
      <c r="G37" s="4" t="s">
        <v>291</v>
      </c>
      <c r="H37" s="4" t="b">
        <v>1</v>
      </c>
      <c r="I37" s="4" t="b">
        <v>1</v>
      </c>
      <c r="J37" s="5" t="s">
        <v>291</v>
      </c>
      <c r="K37" s="5" t="s">
        <v>203</v>
      </c>
      <c r="L37" s="5" t="s">
        <v>289</v>
      </c>
      <c r="M37" s="5" t="s">
        <v>290</v>
      </c>
      <c r="N37" s="2" t="s">
        <v>15</v>
      </c>
      <c r="O37" s="2" t="s">
        <v>401</v>
      </c>
      <c r="P37" s="2">
        <v>70556</v>
      </c>
      <c r="Q37" s="2" t="s">
        <v>402</v>
      </c>
      <c r="R37" s="2">
        <v>269</v>
      </c>
      <c r="S37" s="2">
        <v>168</v>
      </c>
      <c r="T37" s="2">
        <v>168</v>
      </c>
      <c r="U37" s="2">
        <v>4</v>
      </c>
      <c r="V37" s="2">
        <v>164</v>
      </c>
      <c r="W37" s="2">
        <v>89</v>
      </c>
      <c r="X37" s="2">
        <v>25</v>
      </c>
      <c r="Y37" s="2">
        <v>0</v>
      </c>
      <c r="Z37" s="2">
        <v>5</v>
      </c>
      <c r="AA37" s="2">
        <v>8</v>
      </c>
      <c r="AB37" s="2">
        <v>17</v>
      </c>
      <c r="AC37" s="2">
        <v>4</v>
      </c>
      <c r="AD37" s="2">
        <v>0</v>
      </c>
      <c r="AE37" s="2">
        <v>0</v>
      </c>
      <c r="AF37" s="2">
        <v>1</v>
      </c>
      <c r="AG37" s="2">
        <v>13</v>
      </c>
      <c r="AH37" s="2">
        <v>0</v>
      </c>
      <c r="AI37" s="2">
        <v>0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269</v>
      </c>
      <c r="AQ37" s="2">
        <v>168</v>
      </c>
      <c r="AR37" s="2">
        <v>168</v>
      </c>
      <c r="AS37" s="2">
        <v>2</v>
      </c>
      <c r="AT37" s="2">
        <v>166</v>
      </c>
      <c r="AU37" s="2">
        <v>3</v>
      </c>
      <c r="AV37" s="2">
        <v>0</v>
      </c>
      <c r="AW37" s="2">
        <v>3</v>
      </c>
      <c r="AX37" s="2">
        <v>10</v>
      </c>
      <c r="AY37" s="2">
        <v>8</v>
      </c>
      <c r="AZ37" s="2">
        <v>114</v>
      </c>
      <c r="BA37" s="2">
        <v>16</v>
      </c>
      <c r="BB37" s="2">
        <v>12</v>
      </c>
      <c r="BC37" s="11" t="s">
        <v>15</v>
      </c>
      <c r="BD37" s="11" t="s">
        <v>425</v>
      </c>
      <c r="BE37" s="11">
        <v>70556</v>
      </c>
      <c r="BF37" s="11" t="s">
        <v>402</v>
      </c>
      <c r="BG37" s="11">
        <v>35</v>
      </c>
      <c r="BH37" s="11">
        <v>267</v>
      </c>
      <c r="BI37" s="11">
        <v>162</v>
      </c>
      <c r="BJ37" s="11">
        <v>162</v>
      </c>
      <c r="BK37" s="11">
        <v>5</v>
      </c>
      <c r="BL37" s="11">
        <v>157</v>
      </c>
      <c r="BM37" s="11">
        <v>94</v>
      </c>
      <c r="BN37" s="11">
        <v>14</v>
      </c>
      <c r="BO37" s="11">
        <v>5</v>
      </c>
      <c r="BP37" s="11">
        <v>12</v>
      </c>
      <c r="BQ37" s="11">
        <v>9</v>
      </c>
      <c r="BR37" s="11">
        <v>0</v>
      </c>
      <c r="BS37" s="11">
        <v>18</v>
      </c>
      <c r="BT37" s="11">
        <v>2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2</v>
      </c>
      <c r="CA37" s="11">
        <v>0</v>
      </c>
      <c r="CB37" s="11">
        <v>0</v>
      </c>
      <c r="CC37" s="11">
        <v>1</v>
      </c>
      <c r="CD37" s="11">
        <v>0</v>
      </c>
      <c r="CE37">
        <v>113</v>
      </c>
      <c r="CF37">
        <v>21</v>
      </c>
      <c r="CG37">
        <v>19</v>
      </c>
      <c r="CH37">
        <v>2</v>
      </c>
      <c r="CI37">
        <v>2</v>
      </c>
      <c r="CJ37" s="14">
        <v>0.6067415730337079</v>
      </c>
      <c r="CK37" s="14">
        <v>0.69753086419753085</v>
      </c>
      <c r="CL37" s="14">
        <v>0.12962962962962962</v>
      </c>
      <c r="CM37" s="14">
        <v>0.11728395061728394</v>
      </c>
      <c r="CN37" s="14">
        <v>1.2345679012345678E-2</v>
      </c>
      <c r="CO37" s="14">
        <v>1.2345679012345678E-2</v>
      </c>
      <c r="CP37" s="30">
        <v>3</v>
      </c>
      <c r="CQ37" s="15">
        <v>119</v>
      </c>
      <c r="CR37">
        <v>35</v>
      </c>
      <c r="CS37">
        <v>10</v>
      </c>
      <c r="CU37">
        <v>0</v>
      </c>
      <c r="CV37" s="14">
        <v>0.62453531598513012</v>
      </c>
      <c r="CW37" s="14">
        <v>0.70833333333333337</v>
      </c>
      <c r="CX37" s="14">
        <v>0.20833333333333334</v>
      </c>
      <c r="CY37" s="14">
        <v>5.9523809523809521E-2</v>
      </c>
      <c r="CZ37" s="14">
        <v>0</v>
      </c>
      <c r="DA37" s="14">
        <v>0</v>
      </c>
      <c r="DB37" s="30">
        <v>3</v>
      </c>
      <c r="DC37" s="14" t="s">
        <v>469</v>
      </c>
      <c r="DD37" s="17" t="s">
        <v>435</v>
      </c>
      <c r="DE37" s="17" t="s">
        <v>435</v>
      </c>
      <c r="DF37" s="17" t="s">
        <v>446</v>
      </c>
      <c r="DG37" s="21">
        <v>77.849999999999994</v>
      </c>
      <c r="DH37" s="16">
        <v>267</v>
      </c>
      <c r="DI37" s="16">
        <v>0</v>
      </c>
      <c r="DJ37" s="16">
        <v>162</v>
      </c>
      <c r="DK37" s="23">
        <v>0.6067415730337079</v>
      </c>
      <c r="DL37" s="16">
        <v>1</v>
      </c>
      <c r="DM37">
        <v>4</v>
      </c>
      <c r="DN37" s="25"/>
      <c r="DO37" s="25"/>
      <c r="DP37" s="25"/>
      <c r="DQ37" s="26"/>
      <c r="DR37" s="26"/>
    </row>
    <row r="38" spans="1:122" ht="14.25" customHeight="1">
      <c r="A38" s="2">
        <v>4996</v>
      </c>
      <c r="B38" s="3" t="s">
        <v>197</v>
      </c>
      <c r="C38" s="3" t="s">
        <v>203</v>
      </c>
      <c r="D38" s="4">
        <v>36</v>
      </c>
      <c r="E38" s="3" t="s">
        <v>21</v>
      </c>
      <c r="F38" s="3" t="s">
        <v>292</v>
      </c>
      <c r="G38" s="4" t="s">
        <v>293</v>
      </c>
      <c r="H38" s="4" t="b">
        <v>1</v>
      </c>
      <c r="I38" s="4" t="b">
        <v>1</v>
      </c>
      <c r="J38" s="5" t="s">
        <v>293</v>
      </c>
      <c r="K38" s="5" t="s">
        <v>203</v>
      </c>
      <c r="L38" s="5" t="s">
        <v>21</v>
      </c>
      <c r="M38" s="5" t="s">
        <v>292</v>
      </c>
      <c r="N38" s="2" t="s">
        <v>15</v>
      </c>
      <c r="O38" s="2" t="s">
        <v>401</v>
      </c>
      <c r="P38" s="2">
        <v>70556</v>
      </c>
      <c r="Q38" s="2" t="s">
        <v>402</v>
      </c>
      <c r="R38" s="2">
        <v>272</v>
      </c>
      <c r="S38" s="2">
        <v>145</v>
      </c>
      <c r="T38" s="2">
        <v>145</v>
      </c>
      <c r="U38" s="2">
        <v>3</v>
      </c>
      <c r="V38" s="2">
        <v>142</v>
      </c>
      <c r="W38" s="2">
        <v>73</v>
      </c>
      <c r="X38" s="2">
        <v>29</v>
      </c>
      <c r="Y38" s="2">
        <v>0</v>
      </c>
      <c r="Z38" s="2">
        <v>7</v>
      </c>
      <c r="AA38" s="2">
        <v>9</v>
      </c>
      <c r="AB38" s="2">
        <v>14</v>
      </c>
      <c r="AC38" s="2">
        <v>2</v>
      </c>
      <c r="AD38" s="2">
        <v>0</v>
      </c>
      <c r="AE38" s="2">
        <v>1</v>
      </c>
      <c r="AF38" s="2">
        <v>4</v>
      </c>
      <c r="AG38" s="2">
        <v>3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272</v>
      </c>
      <c r="AQ38" s="2">
        <v>145</v>
      </c>
      <c r="AR38" s="2">
        <v>145</v>
      </c>
      <c r="AS38" s="2">
        <v>1</v>
      </c>
      <c r="AT38" s="2">
        <v>144</v>
      </c>
      <c r="AU38" s="2">
        <v>2</v>
      </c>
      <c r="AV38" s="2">
        <v>0</v>
      </c>
      <c r="AW38" s="2">
        <v>2</v>
      </c>
      <c r="AX38" s="2">
        <v>11</v>
      </c>
      <c r="AY38" s="2">
        <v>6</v>
      </c>
      <c r="AZ38" s="2">
        <v>104</v>
      </c>
      <c r="BA38" s="2">
        <v>12</v>
      </c>
      <c r="BB38" s="2">
        <v>7</v>
      </c>
      <c r="BC38" s="11" t="s">
        <v>15</v>
      </c>
      <c r="BD38" s="11" t="s">
        <v>425</v>
      </c>
      <c r="BE38" s="11">
        <v>70556</v>
      </c>
      <c r="BF38" s="11" t="s">
        <v>402</v>
      </c>
      <c r="BG38" s="11">
        <v>36</v>
      </c>
      <c r="BH38" s="11">
        <v>269</v>
      </c>
      <c r="BI38" s="11">
        <v>135</v>
      </c>
      <c r="BJ38" s="11">
        <v>135</v>
      </c>
      <c r="BK38" s="11">
        <v>2</v>
      </c>
      <c r="BL38" s="11">
        <v>133</v>
      </c>
      <c r="BM38" s="11">
        <v>88</v>
      </c>
      <c r="BN38" s="11">
        <v>18</v>
      </c>
      <c r="BO38" s="11">
        <v>3</v>
      </c>
      <c r="BP38" s="11">
        <v>2</v>
      </c>
      <c r="BQ38" s="11">
        <v>4</v>
      </c>
      <c r="BR38" s="11">
        <v>0</v>
      </c>
      <c r="BS38" s="11">
        <v>11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7</v>
      </c>
      <c r="CA38" s="11">
        <v>0</v>
      </c>
      <c r="CB38" s="11">
        <v>0</v>
      </c>
      <c r="CC38" s="11">
        <v>0</v>
      </c>
      <c r="CD38" s="11">
        <v>0</v>
      </c>
      <c r="CE38">
        <v>109</v>
      </c>
      <c r="CF38">
        <v>6</v>
      </c>
      <c r="CG38">
        <v>11</v>
      </c>
      <c r="CH38">
        <v>7</v>
      </c>
      <c r="CI38">
        <v>0</v>
      </c>
      <c r="CJ38" s="14">
        <v>0.5018587360594795</v>
      </c>
      <c r="CK38" s="14">
        <v>0.80740740740740746</v>
      </c>
      <c r="CL38" s="14">
        <v>4.4444444444444446E-2</v>
      </c>
      <c r="CM38" s="14">
        <v>8.1481481481481488E-2</v>
      </c>
      <c r="CN38" s="14">
        <v>5.185185185185185E-2</v>
      </c>
      <c r="CO38" s="14">
        <v>0</v>
      </c>
      <c r="CP38" s="30">
        <v>6</v>
      </c>
      <c r="CQ38" s="15">
        <v>109</v>
      </c>
      <c r="CR38">
        <v>23</v>
      </c>
      <c r="CS38">
        <v>10</v>
      </c>
      <c r="CU38">
        <v>0</v>
      </c>
      <c r="CV38" s="14">
        <v>0.53308823529411764</v>
      </c>
      <c r="CW38" s="14">
        <v>0.75172413793103443</v>
      </c>
      <c r="CX38" s="14">
        <v>0.15862068965517243</v>
      </c>
      <c r="CY38" s="14">
        <v>6.8965517241379309E-2</v>
      </c>
      <c r="CZ38" s="14">
        <v>0</v>
      </c>
      <c r="DA38" s="14">
        <v>0</v>
      </c>
      <c r="DB38" s="30">
        <v>6</v>
      </c>
      <c r="DC38" s="14" t="s">
        <v>482</v>
      </c>
      <c r="DD38" s="17" t="s">
        <v>438</v>
      </c>
      <c r="DE38" s="17" t="s">
        <v>438</v>
      </c>
      <c r="DF38" s="17" t="s">
        <v>451</v>
      </c>
      <c r="DG38" s="21">
        <v>78.67</v>
      </c>
      <c r="DH38" s="16">
        <v>269</v>
      </c>
      <c r="DI38" s="16">
        <v>0</v>
      </c>
      <c r="DJ38" s="16">
        <v>135</v>
      </c>
      <c r="DK38" s="23">
        <v>0.5018587360594795</v>
      </c>
      <c r="DL38" s="16">
        <v>1</v>
      </c>
      <c r="DM38">
        <v>6</v>
      </c>
      <c r="DN38" s="25"/>
      <c r="DO38" s="25"/>
      <c r="DP38" s="25"/>
      <c r="DQ38" s="26"/>
      <c r="DR38" s="26"/>
    </row>
    <row r="39" spans="1:122" ht="14.25" customHeight="1">
      <c r="A39" s="2">
        <v>4997</v>
      </c>
      <c r="B39" s="3" t="s">
        <v>197</v>
      </c>
      <c r="C39" s="3" t="s">
        <v>203</v>
      </c>
      <c r="D39" s="4">
        <v>37</v>
      </c>
      <c r="E39" s="3" t="s">
        <v>12</v>
      </c>
      <c r="F39" s="3" t="s">
        <v>294</v>
      </c>
      <c r="G39" s="4" t="s">
        <v>295</v>
      </c>
      <c r="H39" s="4" t="b">
        <v>1</v>
      </c>
      <c r="I39" s="4" t="b">
        <v>1</v>
      </c>
      <c r="J39" s="5" t="s">
        <v>295</v>
      </c>
      <c r="K39" s="5" t="s">
        <v>203</v>
      </c>
      <c r="L39" s="5" t="s">
        <v>12</v>
      </c>
      <c r="M39" s="5" t="s">
        <v>294</v>
      </c>
      <c r="N39" s="2" t="s">
        <v>15</v>
      </c>
      <c r="O39" s="2" t="s">
        <v>401</v>
      </c>
      <c r="P39" s="2">
        <v>70556</v>
      </c>
      <c r="Q39" s="2" t="s">
        <v>402</v>
      </c>
      <c r="R39" s="2">
        <v>69</v>
      </c>
      <c r="S39" s="2">
        <v>43</v>
      </c>
      <c r="T39" s="2">
        <v>43</v>
      </c>
      <c r="U39" s="2">
        <v>1</v>
      </c>
      <c r="V39" s="2">
        <v>42</v>
      </c>
      <c r="W39" s="2">
        <v>25</v>
      </c>
      <c r="X39" s="2">
        <v>6</v>
      </c>
      <c r="Y39" s="2">
        <v>0</v>
      </c>
      <c r="Z39" s="2">
        <v>1</v>
      </c>
      <c r="AA39" s="2">
        <v>6</v>
      </c>
      <c r="AB39" s="2">
        <v>0</v>
      </c>
      <c r="AC39" s="2">
        <v>1</v>
      </c>
      <c r="AD39" s="2">
        <v>0</v>
      </c>
      <c r="AE39" s="2">
        <v>1</v>
      </c>
      <c r="AF39" s="2">
        <v>1</v>
      </c>
      <c r="AG39" s="2">
        <v>1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69</v>
      </c>
      <c r="AQ39" s="2">
        <v>43</v>
      </c>
      <c r="AR39" s="2">
        <v>43</v>
      </c>
      <c r="AS39" s="2">
        <v>3</v>
      </c>
      <c r="AT39" s="2">
        <v>40</v>
      </c>
      <c r="AU39" s="2">
        <v>1</v>
      </c>
      <c r="AV39" s="2">
        <v>1</v>
      </c>
      <c r="AW39" s="2">
        <v>0</v>
      </c>
      <c r="AX39" s="2">
        <v>7</v>
      </c>
      <c r="AY39" s="2">
        <v>1</v>
      </c>
      <c r="AZ39" s="2">
        <v>29</v>
      </c>
      <c r="BA39" s="2">
        <v>0</v>
      </c>
      <c r="BB39" s="2">
        <v>1</v>
      </c>
      <c r="BC39" s="11" t="s">
        <v>15</v>
      </c>
      <c r="BD39" s="11" t="s">
        <v>425</v>
      </c>
      <c r="BE39" s="11">
        <v>70556</v>
      </c>
      <c r="BF39" s="11" t="s">
        <v>402</v>
      </c>
      <c r="BG39" s="11">
        <v>37</v>
      </c>
      <c r="BH39" s="11">
        <v>62</v>
      </c>
      <c r="BI39" s="11">
        <v>38</v>
      </c>
      <c r="BJ39" s="11">
        <v>38</v>
      </c>
      <c r="BK39" s="11">
        <v>0</v>
      </c>
      <c r="BL39" s="11">
        <v>38</v>
      </c>
      <c r="BM39" s="11">
        <v>20</v>
      </c>
      <c r="BN39" s="11">
        <v>5</v>
      </c>
      <c r="BO39" s="11">
        <v>0</v>
      </c>
      <c r="BP39" s="11">
        <v>1</v>
      </c>
      <c r="BQ39" s="11">
        <v>0</v>
      </c>
      <c r="BR39" s="11">
        <v>0</v>
      </c>
      <c r="BS39" s="11">
        <v>10</v>
      </c>
      <c r="BT39" s="11">
        <v>0</v>
      </c>
      <c r="BU39" s="11">
        <v>0</v>
      </c>
      <c r="BV39" s="11">
        <v>0</v>
      </c>
      <c r="BW39" s="11">
        <v>0</v>
      </c>
      <c r="BX39" s="11">
        <v>2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>
        <v>25</v>
      </c>
      <c r="CF39">
        <v>1</v>
      </c>
      <c r="CG39">
        <v>12</v>
      </c>
      <c r="CH39">
        <v>0</v>
      </c>
      <c r="CI39">
        <v>0</v>
      </c>
      <c r="CJ39" s="14">
        <v>0.61290322580645162</v>
      </c>
      <c r="CK39" s="14">
        <v>0.65789473684210531</v>
      </c>
      <c r="CL39" s="14">
        <v>2.6315789473684209E-2</v>
      </c>
      <c r="CM39" s="14">
        <v>0.31578947368421051</v>
      </c>
      <c r="CN39" s="14">
        <v>0</v>
      </c>
      <c r="CO39" s="14">
        <v>0</v>
      </c>
      <c r="CP39" s="30">
        <v>2</v>
      </c>
      <c r="CQ39" s="15">
        <v>32</v>
      </c>
      <c r="CR39">
        <v>3</v>
      </c>
      <c r="CS39">
        <v>7</v>
      </c>
      <c r="CU39">
        <v>0</v>
      </c>
      <c r="CV39" s="14">
        <v>0.62318840579710144</v>
      </c>
      <c r="CW39" s="14">
        <v>0.7441860465116279</v>
      </c>
      <c r="CX39" s="14">
        <v>6.9767441860465115E-2</v>
      </c>
      <c r="CY39" s="14">
        <v>0.16279069767441862</v>
      </c>
      <c r="CZ39" s="14">
        <v>0</v>
      </c>
      <c r="DA39" s="14">
        <v>0</v>
      </c>
      <c r="DB39" s="30">
        <v>8</v>
      </c>
      <c r="DC39" s="14" t="s">
        <v>485</v>
      </c>
      <c r="DD39" s="17" t="s">
        <v>434</v>
      </c>
      <c r="DE39" s="17" t="s">
        <v>439</v>
      </c>
      <c r="DF39" s="17" t="s">
        <v>459</v>
      </c>
      <c r="DG39" s="21">
        <v>22.48</v>
      </c>
      <c r="DH39" s="16">
        <v>62</v>
      </c>
      <c r="DI39" s="16">
        <v>0</v>
      </c>
      <c r="DJ39" s="16">
        <v>38</v>
      </c>
      <c r="DK39" s="23">
        <v>0.61290322580645162</v>
      </c>
      <c r="DL39" s="16">
        <v>1</v>
      </c>
      <c r="DM39">
        <v>3</v>
      </c>
      <c r="DN39" s="25"/>
      <c r="DO39" s="25"/>
      <c r="DP39" s="25"/>
      <c r="DQ39" s="26"/>
      <c r="DR39" s="26"/>
    </row>
    <row r="40" spans="1:122" ht="14.25" customHeight="1">
      <c r="A40" s="2">
        <v>4998</v>
      </c>
      <c r="B40" s="3" t="s">
        <v>197</v>
      </c>
      <c r="C40" s="3" t="s">
        <v>203</v>
      </c>
      <c r="D40" s="4">
        <v>38</v>
      </c>
      <c r="E40" s="3" t="s">
        <v>12</v>
      </c>
      <c r="F40" s="3" t="s">
        <v>296</v>
      </c>
      <c r="G40" s="4" t="s">
        <v>297</v>
      </c>
      <c r="H40" s="4" t="b">
        <v>1</v>
      </c>
      <c r="I40" s="4" t="b">
        <v>1</v>
      </c>
      <c r="J40" s="5" t="s">
        <v>297</v>
      </c>
      <c r="K40" s="5" t="s">
        <v>203</v>
      </c>
      <c r="L40" s="5" t="s">
        <v>12</v>
      </c>
      <c r="M40" s="5" t="s">
        <v>296</v>
      </c>
      <c r="N40" s="2" t="s">
        <v>15</v>
      </c>
      <c r="O40" s="2" t="s">
        <v>401</v>
      </c>
      <c r="P40" s="2">
        <v>70556</v>
      </c>
      <c r="Q40" s="2" t="s">
        <v>402</v>
      </c>
      <c r="R40" s="2">
        <v>103</v>
      </c>
      <c r="S40" s="2">
        <v>69</v>
      </c>
      <c r="T40" s="2">
        <v>69</v>
      </c>
      <c r="U40" s="2">
        <v>2</v>
      </c>
      <c r="V40" s="2">
        <v>67</v>
      </c>
      <c r="W40" s="2">
        <v>27</v>
      </c>
      <c r="X40" s="2">
        <v>28</v>
      </c>
      <c r="Y40" s="2">
        <v>1</v>
      </c>
      <c r="Z40" s="2">
        <v>2</v>
      </c>
      <c r="AA40" s="2">
        <v>1</v>
      </c>
      <c r="AB40" s="2">
        <v>4</v>
      </c>
      <c r="AC40" s="2">
        <v>1</v>
      </c>
      <c r="AD40" s="2">
        <v>1</v>
      </c>
      <c r="AE40" s="2">
        <v>0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  <c r="AP40" s="2">
        <v>103</v>
      </c>
      <c r="AQ40" s="2">
        <v>70</v>
      </c>
      <c r="AR40" s="2">
        <v>70</v>
      </c>
      <c r="AS40" s="2">
        <v>4</v>
      </c>
      <c r="AT40" s="2">
        <v>66</v>
      </c>
      <c r="AU40" s="2">
        <v>4</v>
      </c>
      <c r="AV40" s="2">
        <v>1</v>
      </c>
      <c r="AW40" s="2">
        <v>0</v>
      </c>
      <c r="AX40" s="2">
        <v>0</v>
      </c>
      <c r="AY40" s="2">
        <v>2</v>
      </c>
      <c r="AZ40" s="2">
        <v>56</v>
      </c>
      <c r="BA40" s="2">
        <v>2</v>
      </c>
      <c r="BB40" s="2">
        <v>1</v>
      </c>
      <c r="BC40" s="11" t="s">
        <v>15</v>
      </c>
      <c r="BD40" s="11" t="s">
        <v>425</v>
      </c>
      <c r="BE40" s="11">
        <v>70556</v>
      </c>
      <c r="BF40" s="11" t="s">
        <v>402</v>
      </c>
      <c r="BG40" s="11">
        <v>38</v>
      </c>
      <c r="BH40" s="11">
        <v>100</v>
      </c>
      <c r="BI40" s="11">
        <v>62</v>
      </c>
      <c r="BJ40" s="11">
        <v>62</v>
      </c>
      <c r="BK40" s="11">
        <v>0</v>
      </c>
      <c r="BL40" s="11">
        <v>62</v>
      </c>
      <c r="BM40" s="11">
        <v>46</v>
      </c>
      <c r="BN40" s="11">
        <v>4</v>
      </c>
      <c r="BO40" s="11">
        <v>0</v>
      </c>
      <c r="BP40" s="11">
        <v>2</v>
      </c>
      <c r="BQ40" s="11">
        <v>0</v>
      </c>
      <c r="BR40" s="11">
        <v>0</v>
      </c>
      <c r="BS40" s="11">
        <v>9</v>
      </c>
      <c r="BT40" s="11">
        <v>1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>
        <v>50</v>
      </c>
      <c r="CF40">
        <v>2</v>
      </c>
      <c r="CG40">
        <v>9</v>
      </c>
      <c r="CH40">
        <v>0</v>
      </c>
      <c r="CI40">
        <v>1</v>
      </c>
      <c r="CJ40" s="14">
        <v>0.62</v>
      </c>
      <c r="CK40" s="14">
        <v>0.80645161290322576</v>
      </c>
      <c r="CL40" s="14">
        <v>3.2258064516129031E-2</v>
      </c>
      <c r="CM40" s="14">
        <v>0.14516129032258066</v>
      </c>
      <c r="CN40" s="14">
        <v>0</v>
      </c>
      <c r="CO40" s="14">
        <v>1.6129032258064516E-2</v>
      </c>
      <c r="CP40" s="30">
        <v>8</v>
      </c>
      <c r="CQ40" s="15">
        <v>57</v>
      </c>
      <c r="CR40">
        <v>6</v>
      </c>
      <c r="CS40">
        <v>1</v>
      </c>
      <c r="CU40">
        <v>3</v>
      </c>
      <c r="CV40" s="14">
        <v>0.66990291262135926</v>
      </c>
      <c r="CW40" s="14">
        <v>0.82608695652173914</v>
      </c>
      <c r="CX40" s="14">
        <v>8.6956521739130432E-2</v>
      </c>
      <c r="CY40" s="14">
        <v>1.4492753623188406E-2</v>
      </c>
      <c r="CZ40" s="14">
        <v>0</v>
      </c>
      <c r="DA40" s="14">
        <v>4.3478260869565216E-2</v>
      </c>
      <c r="DB40" s="30">
        <v>8</v>
      </c>
      <c r="DC40" s="14" t="s">
        <v>488</v>
      </c>
      <c r="DD40" s="17" t="s">
        <v>439</v>
      </c>
      <c r="DE40" s="17" t="s">
        <v>439</v>
      </c>
      <c r="DF40" s="17" t="s">
        <v>442</v>
      </c>
      <c r="DG40" s="21">
        <v>26.270000000000003</v>
      </c>
      <c r="DH40" s="16">
        <v>100</v>
      </c>
      <c r="DI40" s="16">
        <v>0</v>
      </c>
      <c r="DJ40" s="16">
        <v>62</v>
      </c>
      <c r="DK40" s="23">
        <v>0.62</v>
      </c>
      <c r="DL40" s="16">
        <v>0</v>
      </c>
      <c r="DM40">
        <v>0</v>
      </c>
      <c r="DN40" s="25"/>
      <c r="DO40" s="25"/>
      <c r="DP40" s="25"/>
      <c r="DQ40" s="26"/>
      <c r="DR40" s="26"/>
    </row>
    <row r="41" spans="1:122" ht="14.25" customHeight="1">
      <c r="A41" s="2">
        <v>4999</v>
      </c>
      <c r="B41" s="3" t="s">
        <v>197</v>
      </c>
      <c r="C41" s="3" t="s">
        <v>203</v>
      </c>
      <c r="D41" s="4">
        <v>39</v>
      </c>
      <c r="E41" s="3" t="s">
        <v>12</v>
      </c>
      <c r="F41" s="3" t="s">
        <v>298</v>
      </c>
      <c r="G41" s="4" t="s">
        <v>299</v>
      </c>
      <c r="H41" s="4" t="b">
        <v>1</v>
      </c>
      <c r="I41" s="4" t="b">
        <v>1</v>
      </c>
      <c r="J41" s="5" t="s">
        <v>299</v>
      </c>
      <c r="K41" s="5" t="s">
        <v>203</v>
      </c>
      <c r="L41" s="5" t="s">
        <v>12</v>
      </c>
      <c r="M41" s="5" t="s">
        <v>298</v>
      </c>
      <c r="N41" s="2" t="s">
        <v>15</v>
      </c>
      <c r="O41" s="2" t="s">
        <v>401</v>
      </c>
      <c r="P41" s="2">
        <v>70556</v>
      </c>
      <c r="Q41" s="2" t="s">
        <v>402</v>
      </c>
      <c r="R41" s="2">
        <v>356</v>
      </c>
      <c r="S41" s="2">
        <v>174</v>
      </c>
      <c r="T41" s="2">
        <v>174</v>
      </c>
      <c r="U41" s="2">
        <v>3</v>
      </c>
      <c r="V41" s="2">
        <v>171</v>
      </c>
      <c r="W41" s="2">
        <v>73</v>
      </c>
      <c r="X41" s="2">
        <v>42</v>
      </c>
      <c r="Y41" s="2">
        <v>0</v>
      </c>
      <c r="Z41" s="2">
        <v>4</v>
      </c>
      <c r="AA41" s="2">
        <v>35</v>
      </c>
      <c r="AB41" s="2">
        <v>4</v>
      </c>
      <c r="AC41" s="2">
        <v>6</v>
      </c>
      <c r="AD41" s="2">
        <v>0</v>
      </c>
      <c r="AE41" s="2">
        <v>0</v>
      </c>
      <c r="AF41" s="2">
        <v>2</v>
      </c>
      <c r="AG41" s="2">
        <v>2</v>
      </c>
      <c r="AH41" s="2">
        <v>0</v>
      </c>
      <c r="AI41" s="2">
        <v>1</v>
      </c>
      <c r="AJ41" s="2">
        <v>2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356</v>
      </c>
      <c r="AQ41" s="2">
        <v>174</v>
      </c>
      <c r="AR41" s="2">
        <v>174</v>
      </c>
      <c r="AS41" s="2">
        <v>2</v>
      </c>
      <c r="AT41" s="2">
        <v>172</v>
      </c>
      <c r="AU41" s="2">
        <v>4</v>
      </c>
      <c r="AV41" s="2">
        <v>1</v>
      </c>
      <c r="AW41" s="2">
        <v>3</v>
      </c>
      <c r="AX41" s="2">
        <v>32</v>
      </c>
      <c r="AY41" s="2">
        <v>14</v>
      </c>
      <c r="AZ41" s="2">
        <v>107</v>
      </c>
      <c r="BA41" s="2">
        <v>2</v>
      </c>
      <c r="BB41" s="2">
        <v>9</v>
      </c>
      <c r="BC41" s="11" t="s">
        <v>15</v>
      </c>
      <c r="BD41" s="11" t="s">
        <v>425</v>
      </c>
      <c r="BE41" s="11">
        <v>70556</v>
      </c>
      <c r="BF41" s="11" t="s">
        <v>402</v>
      </c>
      <c r="BG41" s="11">
        <v>39</v>
      </c>
      <c r="BH41" s="11">
        <v>351</v>
      </c>
      <c r="BI41" s="11">
        <v>165</v>
      </c>
      <c r="BJ41" s="11">
        <v>165</v>
      </c>
      <c r="BK41" s="11">
        <v>7</v>
      </c>
      <c r="BL41" s="11">
        <v>158</v>
      </c>
      <c r="BM41" s="11">
        <v>88</v>
      </c>
      <c r="BN41" s="11">
        <v>18</v>
      </c>
      <c r="BO41" s="11">
        <v>0</v>
      </c>
      <c r="BP41" s="11">
        <v>4</v>
      </c>
      <c r="BQ41" s="11">
        <v>2</v>
      </c>
      <c r="BR41" s="11">
        <v>1</v>
      </c>
      <c r="BS41" s="11">
        <v>34</v>
      </c>
      <c r="BT41" s="11">
        <v>2</v>
      </c>
      <c r="BU41" s="11">
        <v>0</v>
      </c>
      <c r="BV41" s="11">
        <v>1</v>
      </c>
      <c r="BW41" s="11">
        <v>0</v>
      </c>
      <c r="BX41" s="11">
        <v>4</v>
      </c>
      <c r="BY41" s="11">
        <v>0</v>
      </c>
      <c r="BZ41" s="11">
        <v>0</v>
      </c>
      <c r="CA41" s="11">
        <v>0</v>
      </c>
      <c r="CB41" s="11">
        <v>4</v>
      </c>
      <c r="CC41" s="11">
        <v>0</v>
      </c>
      <c r="CD41" s="11">
        <v>0</v>
      </c>
      <c r="CE41">
        <v>106</v>
      </c>
      <c r="CF41">
        <v>6</v>
      </c>
      <c r="CG41">
        <v>38</v>
      </c>
      <c r="CH41">
        <v>0</v>
      </c>
      <c r="CI41">
        <v>8</v>
      </c>
      <c r="CJ41" s="14">
        <v>0.47008547008547008</v>
      </c>
      <c r="CK41" s="14">
        <v>0.64242424242424245</v>
      </c>
      <c r="CL41" s="14">
        <v>3.6363636363636362E-2</v>
      </c>
      <c r="CM41" s="14">
        <v>0.23030303030303031</v>
      </c>
      <c r="CN41" s="14">
        <v>0</v>
      </c>
      <c r="CO41" s="14">
        <v>4.8484848484848485E-2</v>
      </c>
      <c r="CP41" s="30">
        <v>5</v>
      </c>
      <c r="CQ41" s="15">
        <v>119</v>
      </c>
      <c r="CR41">
        <v>14</v>
      </c>
      <c r="CS41">
        <v>37</v>
      </c>
      <c r="CU41">
        <v>1</v>
      </c>
      <c r="CV41" s="14">
        <v>0.4887640449438202</v>
      </c>
      <c r="CW41" s="14">
        <v>0.68390804597701149</v>
      </c>
      <c r="CX41" s="14">
        <v>8.0459770114942528E-2</v>
      </c>
      <c r="CY41" s="14">
        <v>0.21264367816091953</v>
      </c>
      <c r="CZ41" s="14">
        <v>0</v>
      </c>
      <c r="DA41" s="14">
        <v>5.7471264367816091E-3</v>
      </c>
      <c r="DB41" s="30">
        <v>5</v>
      </c>
      <c r="DC41" s="14" t="s">
        <v>474</v>
      </c>
      <c r="DD41" s="17" t="s">
        <v>437</v>
      </c>
      <c r="DE41" s="17" t="s">
        <v>437</v>
      </c>
      <c r="DF41" s="17" t="s">
        <v>453</v>
      </c>
      <c r="DG41" s="21">
        <v>118.1</v>
      </c>
      <c r="DH41" s="16">
        <v>351</v>
      </c>
      <c r="DI41" s="16">
        <v>0</v>
      </c>
      <c r="DJ41" s="16">
        <v>165</v>
      </c>
      <c r="DK41" s="23">
        <v>0.47008547008547008</v>
      </c>
      <c r="DL41" s="16">
        <v>1</v>
      </c>
      <c r="DM41">
        <v>5</v>
      </c>
      <c r="DN41" s="25"/>
      <c r="DO41" s="25"/>
      <c r="DP41" s="25"/>
      <c r="DQ41" s="26"/>
      <c r="DR41" s="26"/>
    </row>
    <row r="42" spans="1:122" ht="14.25" customHeight="1">
      <c r="A42" s="2">
        <v>5000</v>
      </c>
      <c r="B42" s="3" t="s">
        <v>197</v>
      </c>
      <c r="C42" s="3" t="s">
        <v>203</v>
      </c>
      <c r="D42" s="4">
        <v>40</v>
      </c>
      <c r="E42" s="3" t="s">
        <v>18</v>
      </c>
      <c r="F42" s="3" t="s">
        <v>300</v>
      </c>
      <c r="G42" s="4" t="s">
        <v>301</v>
      </c>
      <c r="H42" s="4" t="b">
        <v>1</v>
      </c>
      <c r="I42" s="4" t="b">
        <v>1</v>
      </c>
      <c r="J42" s="5" t="s">
        <v>301</v>
      </c>
      <c r="K42" s="5" t="s">
        <v>203</v>
      </c>
      <c r="L42" s="5" t="s">
        <v>18</v>
      </c>
      <c r="M42" s="5" t="s">
        <v>300</v>
      </c>
      <c r="N42" s="2" t="s">
        <v>15</v>
      </c>
      <c r="O42" s="2" t="s">
        <v>401</v>
      </c>
      <c r="P42" s="2">
        <v>70556</v>
      </c>
      <c r="Q42" s="2" t="s">
        <v>402</v>
      </c>
      <c r="R42" s="2">
        <v>322</v>
      </c>
      <c r="S42" s="2">
        <v>141</v>
      </c>
      <c r="T42" s="2">
        <v>141</v>
      </c>
      <c r="U42" s="2">
        <v>3</v>
      </c>
      <c r="V42" s="2">
        <v>138</v>
      </c>
      <c r="W42" s="2">
        <v>72</v>
      </c>
      <c r="X42" s="2">
        <v>29</v>
      </c>
      <c r="Y42" s="2">
        <v>0</v>
      </c>
      <c r="Z42" s="2">
        <v>5</v>
      </c>
      <c r="AA42" s="2">
        <v>12</v>
      </c>
      <c r="AB42" s="2">
        <v>7</v>
      </c>
      <c r="AC42" s="2">
        <v>3</v>
      </c>
      <c r="AD42" s="2">
        <v>2</v>
      </c>
      <c r="AE42" s="2">
        <v>0</v>
      </c>
      <c r="AF42" s="2">
        <v>1</v>
      </c>
      <c r="AG42" s="2">
        <v>4</v>
      </c>
      <c r="AH42" s="2">
        <v>0</v>
      </c>
      <c r="AI42" s="2">
        <v>0</v>
      </c>
      <c r="AJ42" s="2">
        <v>2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322</v>
      </c>
      <c r="AQ42" s="2">
        <v>141</v>
      </c>
      <c r="AR42" s="2">
        <v>141</v>
      </c>
      <c r="AS42" s="2">
        <v>1</v>
      </c>
      <c r="AT42" s="2">
        <v>140</v>
      </c>
      <c r="AU42" s="2">
        <v>2</v>
      </c>
      <c r="AV42" s="2">
        <v>1</v>
      </c>
      <c r="AW42" s="2">
        <v>1</v>
      </c>
      <c r="AX42" s="2">
        <v>7</v>
      </c>
      <c r="AY42" s="2">
        <v>3</v>
      </c>
      <c r="AZ42" s="2">
        <v>108</v>
      </c>
      <c r="BA42" s="2">
        <v>7</v>
      </c>
      <c r="BB42" s="2">
        <v>11</v>
      </c>
      <c r="BC42" s="11" t="s">
        <v>15</v>
      </c>
      <c r="BD42" s="11" t="s">
        <v>425</v>
      </c>
      <c r="BE42" s="11">
        <v>70556</v>
      </c>
      <c r="BF42" s="11" t="s">
        <v>402</v>
      </c>
      <c r="BG42" s="11">
        <v>40</v>
      </c>
      <c r="BH42" s="11">
        <v>319</v>
      </c>
      <c r="BI42" s="11">
        <v>153</v>
      </c>
      <c r="BJ42" s="11">
        <v>153</v>
      </c>
      <c r="BK42" s="11">
        <v>5</v>
      </c>
      <c r="BL42" s="11">
        <v>148</v>
      </c>
      <c r="BM42" s="11">
        <v>94</v>
      </c>
      <c r="BN42" s="11">
        <v>24</v>
      </c>
      <c r="BO42" s="11">
        <v>3</v>
      </c>
      <c r="BP42" s="11">
        <v>2</v>
      </c>
      <c r="BQ42" s="11">
        <v>3</v>
      </c>
      <c r="BR42" s="11">
        <v>0</v>
      </c>
      <c r="BS42" s="11">
        <v>14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6</v>
      </c>
      <c r="CA42" s="11">
        <v>0</v>
      </c>
      <c r="CB42" s="11">
        <v>0</v>
      </c>
      <c r="CC42" s="11">
        <v>2</v>
      </c>
      <c r="CD42" s="11">
        <v>0</v>
      </c>
      <c r="CE42">
        <v>121</v>
      </c>
      <c r="CF42">
        <v>5</v>
      </c>
      <c r="CG42">
        <v>16</v>
      </c>
      <c r="CH42">
        <v>6</v>
      </c>
      <c r="CI42">
        <v>0</v>
      </c>
      <c r="CJ42" s="14">
        <v>0.47962382445141066</v>
      </c>
      <c r="CK42" s="14">
        <v>0.79084967320261434</v>
      </c>
      <c r="CL42" s="14">
        <v>3.2679738562091505E-2</v>
      </c>
      <c r="CM42" s="14">
        <v>0.10457516339869281</v>
      </c>
      <c r="CN42" s="14">
        <v>3.9215686274509803E-2</v>
      </c>
      <c r="CO42" s="14">
        <v>0</v>
      </c>
      <c r="CP42" s="30">
        <v>5</v>
      </c>
      <c r="CQ42" s="15">
        <v>106</v>
      </c>
      <c r="CR42">
        <v>15</v>
      </c>
      <c r="CS42">
        <v>14</v>
      </c>
      <c r="CU42">
        <v>3</v>
      </c>
      <c r="CV42" s="14">
        <v>0.43788819875776397</v>
      </c>
      <c r="CW42" s="14">
        <v>0.75177304964539005</v>
      </c>
      <c r="CX42" s="14">
        <v>0.10638297872340426</v>
      </c>
      <c r="CY42" s="14">
        <v>9.9290780141843976E-2</v>
      </c>
      <c r="CZ42" s="14">
        <v>0</v>
      </c>
      <c r="DA42" s="14">
        <v>2.1276595744680851E-2</v>
      </c>
      <c r="DB42" s="30">
        <v>5</v>
      </c>
      <c r="DC42" s="14" t="s">
        <v>474</v>
      </c>
      <c r="DD42" s="17" t="s">
        <v>437</v>
      </c>
      <c r="DE42" s="17" t="s">
        <v>437</v>
      </c>
      <c r="DF42" s="17" t="s">
        <v>453</v>
      </c>
      <c r="DG42" s="21">
        <v>96.09</v>
      </c>
      <c r="DH42" s="16">
        <v>319</v>
      </c>
      <c r="DI42" s="16">
        <v>0</v>
      </c>
      <c r="DJ42" s="16">
        <v>153</v>
      </c>
      <c r="DK42" s="23">
        <v>0.47962382445141066</v>
      </c>
      <c r="DL42" s="16">
        <v>1</v>
      </c>
      <c r="DM42">
        <v>5</v>
      </c>
      <c r="DN42" s="25"/>
      <c r="DO42" s="25"/>
      <c r="DP42" s="25"/>
      <c r="DQ42" s="26"/>
      <c r="DR42" s="26"/>
    </row>
    <row r="43" spans="1:122" ht="14.25" customHeight="1">
      <c r="A43" s="2">
        <v>5001</v>
      </c>
      <c r="B43" s="3" t="s">
        <v>197</v>
      </c>
      <c r="C43" s="3" t="s">
        <v>203</v>
      </c>
      <c r="D43" s="4">
        <v>41</v>
      </c>
      <c r="E43" s="3" t="s">
        <v>28</v>
      </c>
      <c r="F43" s="3" t="s">
        <v>302</v>
      </c>
      <c r="G43" s="4" t="s">
        <v>303</v>
      </c>
      <c r="H43" s="4" t="b">
        <v>1</v>
      </c>
      <c r="I43" s="4" t="b">
        <v>1</v>
      </c>
      <c r="J43" s="5" t="s">
        <v>303</v>
      </c>
      <c r="K43" s="5" t="s">
        <v>203</v>
      </c>
      <c r="L43" s="5" t="s">
        <v>28</v>
      </c>
      <c r="M43" s="5" t="s">
        <v>302</v>
      </c>
      <c r="N43" s="2" t="s">
        <v>15</v>
      </c>
      <c r="O43" s="2" t="s">
        <v>401</v>
      </c>
      <c r="P43" s="2">
        <v>70556</v>
      </c>
      <c r="Q43" s="2" t="s">
        <v>402</v>
      </c>
      <c r="R43" s="2">
        <v>170</v>
      </c>
      <c r="S43" s="2">
        <v>78</v>
      </c>
      <c r="T43" s="2">
        <v>78</v>
      </c>
      <c r="U43" s="2">
        <v>1</v>
      </c>
      <c r="V43" s="2">
        <v>77</v>
      </c>
      <c r="W43" s="2">
        <v>52</v>
      </c>
      <c r="X43" s="2">
        <v>8</v>
      </c>
      <c r="Y43" s="2">
        <v>0</v>
      </c>
      <c r="Z43" s="2">
        <v>1</v>
      </c>
      <c r="AA43" s="2">
        <v>5</v>
      </c>
      <c r="AB43" s="2">
        <v>7</v>
      </c>
      <c r="AC43" s="2">
        <v>3</v>
      </c>
      <c r="AD43" s="2">
        <v>0</v>
      </c>
      <c r="AE43" s="2">
        <v>0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170</v>
      </c>
      <c r="AQ43" s="2">
        <v>78</v>
      </c>
      <c r="AR43" s="2">
        <v>78</v>
      </c>
      <c r="AS43" s="2">
        <v>2</v>
      </c>
      <c r="AT43" s="2">
        <v>76</v>
      </c>
      <c r="AU43" s="2">
        <v>0</v>
      </c>
      <c r="AV43" s="2">
        <v>0</v>
      </c>
      <c r="AW43" s="2">
        <v>1</v>
      </c>
      <c r="AX43" s="2">
        <v>2</v>
      </c>
      <c r="AY43" s="2">
        <v>0</v>
      </c>
      <c r="AZ43" s="2">
        <v>62</v>
      </c>
      <c r="BA43" s="2">
        <v>10</v>
      </c>
      <c r="BB43" s="2">
        <v>1</v>
      </c>
      <c r="BC43" s="11" t="s">
        <v>15</v>
      </c>
      <c r="BD43" s="11" t="s">
        <v>425</v>
      </c>
      <c r="BE43" s="11">
        <v>70556</v>
      </c>
      <c r="BF43" s="11" t="s">
        <v>402</v>
      </c>
      <c r="BG43" s="11">
        <v>41</v>
      </c>
      <c r="BH43" s="11">
        <v>165</v>
      </c>
      <c r="BI43" s="11">
        <v>89</v>
      </c>
      <c r="BJ43" s="11">
        <v>89</v>
      </c>
      <c r="BK43" s="11">
        <v>2</v>
      </c>
      <c r="BL43" s="11">
        <v>87</v>
      </c>
      <c r="BM43" s="11">
        <v>54</v>
      </c>
      <c r="BN43" s="11">
        <v>10</v>
      </c>
      <c r="BO43" s="11">
        <v>0</v>
      </c>
      <c r="BP43" s="11">
        <v>1</v>
      </c>
      <c r="BQ43" s="11">
        <v>6</v>
      </c>
      <c r="BR43" s="11">
        <v>0</v>
      </c>
      <c r="BS43" s="11">
        <v>11</v>
      </c>
      <c r="BT43" s="11">
        <v>0</v>
      </c>
      <c r="BU43" s="11">
        <v>0</v>
      </c>
      <c r="BV43" s="11">
        <v>2</v>
      </c>
      <c r="BW43" s="11">
        <v>0</v>
      </c>
      <c r="BX43" s="11">
        <v>0</v>
      </c>
      <c r="BY43" s="11">
        <v>0</v>
      </c>
      <c r="BZ43" s="11">
        <v>3</v>
      </c>
      <c r="CA43" s="11">
        <v>0</v>
      </c>
      <c r="CB43" s="11">
        <v>0</v>
      </c>
      <c r="CC43" s="11">
        <v>0</v>
      </c>
      <c r="CD43" s="11">
        <v>0</v>
      </c>
      <c r="CE43">
        <v>64</v>
      </c>
      <c r="CF43">
        <v>7</v>
      </c>
      <c r="CG43">
        <v>11</v>
      </c>
      <c r="CH43">
        <v>3</v>
      </c>
      <c r="CI43">
        <v>2</v>
      </c>
      <c r="CJ43" s="14">
        <v>0.53939393939393943</v>
      </c>
      <c r="CK43" s="14">
        <v>0.7191011235955056</v>
      </c>
      <c r="CL43" s="14">
        <v>7.8651685393258425E-2</v>
      </c>
      <c r="CM43" s="14">
        <v>0.12359550561797752</v>
      </c>
      <c r="CN43" s="14">
        <v>3.3707865168539325E-2</v>
      </c>
      <c r="CO43" s="14">
        <v>2.247191011235955E-2</v>
      </c>
      <c r="CP43" s="30">
        <v>6</v>
      </c>
      <c r="CQ43" s="15">
        <v>61</v>
      </c>
      <c r="CR43">
        <v>11</v>
      </c>
      <c r="CS43">
        <v>5</v>
      </c>
      <c r="CU43">
        <v>0</v>
      </c>
      <c r="CV43" s="14">
        <v>0.45882352941176469</v>
      </c>
      <c r="CW43" s="14">
        <v>0.78205128205128205</v>
      </c>
      <c r="CX43" s="14">
        <v>0.14102564102564102</v>
      </c>
      <c r="CY43" s="14">
        <v>6.4102564102564097E-2</v>
      </c>
      <c r="CZ43" s="14">
        <v>0</v>
      </c>
      <c r="DA43" s="14">
        <v>0</v>
      </c>
      <c r="DB43" s="30">
        <v>5</v>
      </c>
      <c r="DC43" s="14" t="s">
        <v>472</v>
      </c>
      <c r="DD43" s="17" t="s">
        <v>438</v>
      </c>
      <c r="DE43" s="17" t="s">
        <v>437</v>
      </c>
      <c r="DF43" s="17" t="s">
        <v>445</v>
      </c>
      <c r="DG43" s="21">
        <v>50.92</v>
      </c>
      <c r="DH43" s="16">
        <v>165</v>
      </c>
      <c r="DI43" s="16">
        <v>0</v>
      </c>
      <c r="DJ43" s="16">
        <v>89</v>
      </c>
      <c r="DK43" s="23">
        <v>0.53939393939393943</v>
      </c>
      <c r="DL43" s="16">
        <v>1</v>
      </c>
      <c r="DM43">
        <v>6</v>
      </c>
      <c r="DN43" s="25"/>
      <c r="DO43" s="25"/>
      <c r="DP43" s="25"/>
      <c r="DQ43" s="26"/>
      <c r="DR43" s="26"/>
    </row>
    <row r="44" spans="1:122" ht="14.25" customHeight="1">
      <c r="A44" s="2">
        <v>5002</v>
      </c>
      <c r="B44" s="3" t="s">
        <v>197</v>
      </c>
      <c r="C44" s="3" t="s">
        <v>203</v>
      </c>
      <c r="D44" s="4">
        <v>42</v>
      </c>
      <c r="E44" s="3" t="s">
        <v>304</v>
      </c>
      <c r="F44" s="3" t="s">
        <v>305</v>
      </c>
      <c r="G44" s="4" t="s">
        <v>306</v>
      </c>
      <c r="H44" s="4" t="b">
        <v>1</v>
      </c>
      <c r="I44" s="4" t="b">
        <v>1</v>
      </c>
      <c r="J44" s="5" t="s">
        <v>306</v>
      </c>
      <c r="K44" s="5" t="s">
        <v>203</v>
      </c>
      <c r="L44" s="5" t="s">
        <v>304</v>
      </c>
      <c r="M44" s="5" t="s">
        <v>305</v>
      </c>
      <c r="N44" s="2" t="s">
        <v>15</v>
      </c>
      <c r="O44" s="2" t="s">
        <v>401</v>
      </c>
      <c r="P44" s="2">
        <v>70556</v>
      </c>
      <c r="Q44" s="2" t="s">
        <v>402</v>
      </c>
      <c r="R44" s="2">
        <v>187</v>
      </c>
      <c r="S44" s="2">
        <v>96</v>
      </c>
      <c r="T44" s="2">
        <v>96</v>
      </c>
      <c r="U44" s="2">
        <v>6</v>
      </c>
      <c r="V44" s="2">
        <v>90</v>
      </c>
      <c r="W44" s="2">
        <v>48</v>
      </c>
      <c r="X44" s="2">
        <v>20</v>
      </c>
      <c r="Y44" s="2">
        <v>0</v>
      </c>
      <c r="Z44" s="2">
        <v>2</v>
      </c>
      <c r="AA44" s="2">
        <v>6</v>
      </c>
      <c r="AB44" s="2">
        <v>0</v>
      </c>
      <c r="AC44" s="2">
        <v>8</v>
      </c>
      <c r="AD44" s="2">
        <v>0</v>
      </c>
      <c r="AE44" s="2">
        <v>0</v>
      </c>
      <c r="AF44" s="2">
        <v>1</v>
      </c>
      <c r="AG44" s="2">
        <v>3</v>
      </c>
      <c r="AH44" s="2">
        <v>0</v>
      </c>
      <c r="AI44" s="2">
        <v>0</v>
      </c>
      <c r="AJ44" s="2">
        <v>2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187</v>
      </c>
      <c r="AQ44" s="2">
        <v>96</v>
      </c>
      <c r="AR44" s="2">
        <v>96</v>
      </c>
      <c r="AS44" s="2">
        <v>3</v>
      </c>
      <c r="AT44" s="2">
        <v>93</v>
      </c>
      <c r="AU44" s="2">
        <v>1</v>
      </c>
      <c r="AV44" s="2">
        <v>1</v>
      </c>
      <c r="AW44" s="2">
        <v>1</v>
      </c>
      <c r="AX44" s="2">
        <v>6</v>
      </c>
      <c r="AY44" s="2">
        <v>7</v>
      </c>
      <c r="AZ44" s="2">
        <v>69</v>
      </c>
      <c r="BA44" s="2">
        <v>3</v>
      </c>
      <c r="BB44" s="2">
        <v>5</v>
      </c>
      <c r="BC44" s="11" t="s">
        <v>15</v>
      </c>
      <c r="BD44" s="11" t="s">
        <v>425</v>
      </c>
      <c r="BE44" s="11">
        <v>70556</v>
      </c>
      <c r="BF44" s="11" t="s">
        <v>402</v>
      </c>
      <c r="BG44" s="11">
        <v>42</v>
      </c>
      <c r="BH44" s="11">
        <v>178</v>
      </c>
      <c r="BI44" s="11">
        <v>93</v>
      </c>
      <c r="BJ44" s="11">
        <v>93</v>
      </c>
      <c r="BK44" s="11">
        <v>3</v>
      </c>
      <c r="BL44" s="11">
        <v>90</v>
      </c>
      <c r="BM44" s="11">
        <v>59</v>
      </c>
      <c r="BN44" s="11">
        <v>10</v>
      </c>
      <c r="BO44" s="11">
        <v>0</v>
      </c>
      <c r="BP44" s="11">
        <v>3</v>
      </c>
      <c r="BQ44" s="11">
        <v>2</v>
      </c>
      <c r="BR44" s="11">
        <v>0</v>
      </c>
      <c r="BS44" s="11">
        <v>13</v>
      </c>
      <c r="BT44" s="11">
        <v>0</v>
      </c>
      <c r="BU44" s="11">
        <v>0</v>
      </c>
      <c r="BV44" s="11">
        <v>0</v>
      </c>
      <c r="BW44" s="11">
        <v>0</v>
      </c>
      <c r="BX44" s="11">
        <v>2</v>
      </c>
      <c r="BY44" s="11">
        <v>0</v>
      </c>
      <c r="BZ44" s="11">
        <v>1</v>
      </c>
      <c r="CA44" s="11">
        <v>0</v>
      </c>
      <c r="CB44" s="11">
        <v>0</v>
      </c>
      <c r="CC44" s="11">
        <v>0</v>
      </c>
      <c r="CD44" s="11">
        <v>0</v>
      </c>
      <c r="CE44">
        <v>69</v>
      </c>
      <c r="CF44">
        <v>5</v>
      </c>
      <c r="CG44">
        <v>15</v>
      </c>
      <c r="CH44">
        <v>1</v>
      </c>
      <c r="CI44">
        <v>0</v>
      </c>
      <c r="CJ44" s="14">
        <v>0.52247191011235961</v>
      </c>
      <c r="CK44" s="14">
        <v>0.74193548387096775</v>
      </c>
      <c r="CL44" s="14">
        <v>5.3763440860215055E-2</v>
      </c>
      <c r="CM44" s="14">
        <v>0.16129032258064516</v>
      </c>
      <c r="CN44" s="14">
        <v>1.0752688172043012E-2</v>
      </c>
      <c r="CO44" s="14">
        <v>0</v>
      </c>
      <c r="CP44" s="30">
        <v>6</v>
      </c>
      <c r="CQ44" s="15">
        <v>70</v>
      </c>
      <c r="CR44">
        <v>12</v>
      </c>
      <c r="CS44">
        <v>8</v>
      </c>
      <c r="CU44">
        <v>0</v>
      </c>
      <c r="CV44" s="14">
        <v>0.5133689839572193</v>
      </c>
      <c r="CW44" s="14">
        <v>0.72916666666666663</v>
      </c>
      <c r="CX44" s="14">
        <v>0.125</v>
      </c>
      <c r="CY44" s="14">
        <v>8.3333333333333329E-2</v>
      </c>
      <c r="CZ44" s="14">
        <v>0</v>
      </c>
      <c r="DA44" s="14">
        <v>0</v>
      </c>
      <c r="DB44" s="30">
        <v>6</v>
      </c>
      <c r="DC44" s="14" t="s">
        <v>482</v>
      </c>
      <c r="DD44" s="17" t="s">
        <v>438</v>
      </c>
      <c r="DE44" s="17" t="s">
        <v>438</v>
      </c>
      <c r="DF44" s="17" t="s">
        <v>451</v>
      </c>
      <c r="DG44" s="21">
        <v>54.79</v>
      </c>
      <c r="DH44" s="16">
        <v>178</v>
      </c>
      <c r="DI44" s="16">
        <v>0</v>
      </c>
      <c r="DJ44" s="16">
        <v>93</v>
      </c>
      <c r="DK44" s="23">
        <v>0.52247191011235961</v>
      </c>
      <c r="DL44" s="16">
        <v>1</v>
      </c>
      <c r="DM44">
        <v>6</v>
      </c>
      <c r="DN44" s="25"/>
      <c r="DO44" s="25"/>
      <c r="DP44" s="25"/>
      <c r="DQ44" s="26"/>
      <c r="DR44" s="26"/>
    </row>
    <row r="45" spans="1:122" ht="14.25" customHeight="1">
      <c r="A45" s="2">
        <v>5003</v>
      </c>
      <c r="B45" s="3" t="s">
        <v>197</v>
      </c>
      <c r="C45" s="3" t="s">
        <v>203</v>
      </c>
      <c r="D45" s="4">
        <v>43</v>
      </c>
      <c r="E45" s="3" t="s">
        <v>12</v>
      </c>
      <c r="F45" s="3" t="s">
        <v>307</v>
      </c>
      <c r="G45" s="4" t="s">
        <v>308</v>
      </c>
      <c r="H45" s="4" t="b">
        <v>1</v>
      </c>
      <c r="I45" s="4" t="b">
        <v>1</v>
      </c>
      <c r="J45" s="5" t="s">
        <v>308</v>
      </c>
      <c r="K45" s="5" t="s">
        <v>203</v>
      </c>
      <c r="L45" s="5" t="s">
        <v>12</v>
      </c>
      <c r="M45" s="5" t="s">
        <v>307</v>
      </c>
      <c r="N45" s="2" t="s">
        <v>15</v>
      </c>
      <c r="O45" s="2" t="s">
        <v>401</v>
      </c>
      <c r="P45" s="2">
        <v>70556</v>
      </c>
      <c r="Q45" s="2" t="s">
        <v>402</v>
      </c>
      <c r="R45" s="2">
        <v>113</v>
      </c>
      <c r="S45" s="2">
        <v>72</v>
      </c>
      <c r="T45" s="2">
        <v>72</v>
      </c>
      <c r="U45" s="2">
        <v>1</v>
      </c>
      <c r="V45" s="2">
        <v>71</v>
      </c>
      <c r="W45" s="2">
        <v>40</v>
      </c>
      <c r="X45" s="2">
        <v>13</v>
      </c>
      <c r="Y45" s="2">
        <v>0</v>
      </c>
      <c r="Z45" s="2">
        <v>1</v>
      </c>
      <c r="AA45" s="2">
        <v>5</v>
      </c>
      <c r="AB45" s="2">
        <v>9</v>
      </c>
      <c r="AC45" s="2">
        <v>2</v>
      </c>
      <c r="AD45" s="2">
        <v>0</v>
      </c>
      <c r="AE45" s="2">
        <v>0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113</v>
      </c>
      <c r="AQ45" s="2">
        <v>72</v>
      </c>
      <c r="AR45" s="2">
        <v>72</v>
      </c>
      <c r="AS45" s="2">
        <v>0</v>
      </c>
      <c r="AT45" s="2">
        <v>72</v>
      </c>
      <c r="AU45" s="2">
        <v>0</v>
      </c>
      <c r="AV45" s="2">
        <v>3</v>
      </c>
      <c r="AW45" s="2">
        <v>1</v>
      </c>
      <c r="AX45" s="2">
        <v>5</v>
      </c>
      <c r="AY45" s="2">
        <v>2</v>
      </c>
      <c r="AZ45" s="2">
        <v>56</v>
      </c>
      <c r="BA45" s="2">
        <v>5</v>
      </c>
      <c r="BB45" s="2">
        <v>0</v>
      </c>
      <c r="BC45" s="11" t="s">
        <v>15</v>
      </c>
      <c r="BD45" s="11" t="s">
        <v>425</v>
      </c>
      <c r="BE45" s="11">
        <v>70556</v>
      </c>
      <c r="BF45" s="11" t="s">
        <v>402</v>
      </c>
      <c r="BG45" s="11">
        <v>43</v>
      </c>
      <c r="BH45" s="11">
        <v>110</v>
      </c>
      <c r="BI45" s="11">
        <v>68</v>
      </c>
      <c r="BJ45" s="11">
        <v>68</v>
      </c>
      <c r="BK45" s="11">
        <v>1</v>
      </c>
      <c r="BL45" s="11">
        <v>67</v>
      </c>
      <c r="BM45" s="11">
        <v>40</v>
      </c>
      <c r="BN45" s="11">
        <v>8</v>
      </c>
      <c r="BO45" s="11">
        <v>0</v>
      </c>
      <c r="BP45" s="11">
        <v>1</v>
      </c>
      <c r="BQ45" s="11">
        <v>9</v>
      </c>
      <c r="BR45" s="11">
        <v>0</v>
      </c>
      <c r="BS45" s="11">
        <v>5</v>
      </c>
      <c r="BT45" s="11">
        <v>0</v>
      </c>
      <c r="BU45" s="11">
        <v>1</v>
      </c>
      <c r="BV45" s="11">
        <v>0</v>
      </c>
      <c r="BW45" s="11">
        <v>1</v>
      </c>
      <c r="BX45" s="11">
        <v>0</v>
      </c>
      <c r="BY45" s="11">
        <v>0</v>
      </c>
      <c r="BZ45" s="11">
        <v>1</v>
      </c>
      <c r="CA45" s="11">
        <v>0</v>
      </c>
      <c r="CB45" s="11">
        <v>0</v>
      </c>
      <c r="CC45" s="11">
        <v>0</v>
      </c>
      <c r="CD45" s="11">
        <v>1</v>
      </c>
      <c r="CE45">
        <v>48</v>
      </c>
      <c r="CF45">
        <v>11</v>
      </c>
      <c r="CG45">
        <v>5</v>
      </c>
      <c r="CH45">
        <v>1</v>
      </c>
      <c r="CI45">
        <v>2</v>
      </c>
      <c r="CJ45" s="14">
        <v>0.61818181818181817</v>
      </c>
      <c r="CK45" s="14">
        <v>0.70588235294117652</v>
      </c>
      <c r="CL45" s="14">
        <v>0.16176470588235295</v>
      </c>
      <c r="CM45" s="14">
        <v>7.3529411764705885E-2</v>
      </c>
      <c r="CN45" s="14">
        <v>1.4705882352941176E-2</v>
      </c>
      <c r="CO45" s="14">
        <v>2.9411764705882353E-2</v>
      </c>
      <c r="CP45" s="30">
        <v>3</v>
      </c>
      <c r="CQ45" s="15">
        <v>54</v>
      </c>
      <c r="CR45">
        <v>12</v>
      </c>
      <c r="CS45">
        <v>5</v>
      </c>
      <c r="CU45">
        <v>0</v>
      </c>
      <c r="CV45" s="14">
        <v>0.63716814159292035</v>
      </c>
      <c r="CW45" s="14">
        <v>0.75</v>
      </c>
      <c r="CX45" s="14">
        <v>0.16666666666666666</v>
      </c>
      <c r="CY45" s="14">
        <v>6.9444444444444448E-2</v>
      </c>
      <c r="CZ45" s="14">
        <v>0</v>
      </c>
      <c r="DA45" s="14">
        <v>0</v>
      </c>
      <c r="DB45" s="30">
        <v>8</v>
      </c>
      <c r="DC45" s="14" t="s">
        <v>480</v>
      </c>
      <c r="DD45" s="17" t="s">
        <v>435</v>
      </c>
      <c r="DE45" s="17" t="s">
        <v>439</v>
      </c>
      <c r="DF45" s="17" t="s">
        <v>447</v>
      </c>
      <c r="DG45" s="21">
        <v>32.9</v>
      </c>
      <c r="DH45" s="16">
        <v>110</v>
      </c>
      <c r="DI45" s="16">
        <v>0</v>
      </c>
      <c r="DJ45" s="16">
        <v>68</v>
      </c>
      <c r="DK45" s="23">
        <v>0.61818181818181817</v>
      </c>
      <c r="DL45" s="16">
        <v>1</v>
      </c>
      <c r="DM45">
        <v>4</v>
      </c>
      <c r="DN45" s="25"/>
      <c r="DO45" s="25"/>
      <c r="DP45" s="25"/>
      <c r="DQ45" s="26"/>
      <c r="DR45" s="26"/>
    </row>
    <row r="46" spans="1:122" ht="14.25" customHeight="1">
      <c r="A46" s="2">
        <v>5004</v>
      </c>
      <c r="B46" s="3" t="s">
        <v>197</v>
      </c>
      <c r="C46" s="3" t="s">
        <v>203</v>
      </c>
      <c r="D46" s="4">
        <v>44</v>
      </c>
      <c r="E46" s="3" t="s">
        <v>12</v>
      </c>
      <c r="F46" s="3" t="s">
        <v>309</v>
      </c>
      <c r="G46" s="4" t="s">
        <v>310</v>
      </c>
      <c r="H46" s="4" t="b">
        <v>1</v>
      </c>
      <c r="I46" s="4" t="b">
        <v>1</v>
      </c>
      <c r="J46" s="5" t="s">
        <v>310</v>
      </c>
      <c r="K46" s="5" t="s">
        <v>203</v>
      </c>
      <c r="L46" s="5" t="s">
        <v>12</v>
      </c>
      <c r="M46" s="5" t="s">
        <v>309</v>
      </c>
      <c r="N46" s="2" t="s">
        <v>15</v>
      </c>
      <c r="O46" s="2" t="s">
        <v>401</v>
      </c>
      <c r="P46" s="2">
        <v>70556</v>
      </c>
      <c r="Q46" s="2" t="s">
        <v>402</v>
      </c>
      <c r="R46" s="2">
        <v>124</v>
      </c>
      <c r="S46" s="2">
        <v>59</v>
      </c>
      <c r="T46" s="2">
        <v>59</v>
      </c>
      <c r="U46" s="2">
        <v>0</v>
      </c>
      <c r="V46" s="2">
        <v>59</v>
      </c>
      <c r="W46" s="2">
        <v>40</v>
      </c>
      <c r="X46" s="2">
        <v>8</v>
      </c>
      <c r="Y46" s="2">
        <v>1</v>
      </c>
      <c r="Z46" s="2">
        <v>3</v>
      </c>
      <c r="AA46" s="2">
        <v>1</v>
      </c>
      <c r="AB46" s="2">
        <v>3</v>
      </c>
      <c r="AC46" s="2">
        <v>0</v>
      </c>
      <c r="AD46" s="2">
        <v>0</v>
      </c>
      <c r="AE46" s="2">
        <v>0</v>
      </c>
      <c r="AF46" s="2">
        <v>2</v>
      </c>
      <c r="AG46" s="2">
        <v>1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124</v>
      </c>
      <c r="AQ46" s="2">
        <v>59</v>
      </c>
      <c r="AR46" s="2">
        <v>59</v>
      </c>
      <c r="AS46" s="2">
        <v>1</v>
      </c>
      <c r="AT46" s="2">
        <v>58</v>
      </c>
      <c r="AU46" s="2">
        <v>1</v>
      </c>
      <c r="AV46" s="2">
        <v>0</v>
      </c>
      <c r="AW46" s="2">
        <v>3</v>
      </c>
      <c r="AX46" s="2">
        <v>1</v>
      </c>
      <c r="AY46" s="2">
        <v>0</v>
      </c>
      <c r="AZ46" s="2">
        <v>48</v>
      </c>
      <c r="BA46" s="2">
        <v>5</v>
      </c>
      <c r="BB46" s="2">
        <v>0</v>
      </c>
      <c r="BC46" s="11" t="s">
        <v>15</v>
      </c>
      <c r="BD46" s="11" t="s">
        <v>425</v>
      </c>
      <c r="BE46" s="11">
        <v>70556</v>
      </c>
      <c r="BF46" s="11" t="s">
        <v>402</v>
      </c>
      <c r="BG46" s="11">
        <v>44</v>
      </c>
      <c r="BH46" s="11">
        <v>109</v>
      </c>
      <c r="BI46" s="11">
        <v>45</v>
      </c>
      <c r="BJ46" s="11">
        <v>45</v>
      </c>
      <c r="BK46" s="11">
        <v>0</v>
      </c>
      <c r="BL46" s="11">
        <v>45</v>
      </c>
      <c r="BM46" s="11">
        <v>39</v>
      </c>
      <c r="BN46" s="11">
        <v>1</v>
      </c>
      <c r="BO46" s="11">
        <v>0</v>
      </c>
      <c r="BP46" s="11">
        <v>0</v>
      </c>
      <c r="BQ46" s="11">
        <v>1</v>
      </c>
      <c r="BR46" s="11">
        <v>0</v>
      </c>
      <c r="BS46" s="11">
        <v>2</v>
      </c>
      <c r="BT46" s="11">
        <v>1</v>
      </c>
      <c r="BU46" s="11">
        <v>0</v>
      </c>
      <c r="BV46" s="11">
        <v>0</v>
      </c>
      <c r="BW46" s="11">
        <v>0</v>
      </c>
      <c r="BX46" s="11">
        <v>1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>
        <v>40</v>
      </c>
      <c r="CF46">
        <v>1</v>
      </c>
      <c r="CG46">
        <v>3</v>
      </c>
      <c r="CH46">
        <v>0</v>
      </c>
      <c r="CI46">
        <v>1</v>
      </c>
      <c r="CJ46" s="14">
        <v>0.41284403669724773</v>
      </c>
      <c r="CK46" s="14">
        <v>0.88888888888888884</v>
      </c>
      <c r="CL46" s="14">
        <v>2.2222222222222223E-2</v>
      </c>
      <c r="CM46" s="14">
        <v>6.6666666666666666E-2</v>
      </c>
      <c r="CN46" s="14">
        <v>0</v>
      </c>
      <c r="CO46" s="14">
        <v>2.2222222222222223E-2</v>
      </c>
      <c r="CP46" s="30">
        <v>5</v>
      </c>
      <c r="CQ46" s="15">
        <v>51</v>
      </c>
      <c r="CR46">
        <v>6</v>
      </c>
      <c r="CS46">
        <v>1</v>
      </c>
      <c r="CU46">
        <v>1</v>
      </c>
      <c r="CV46" s="14">
        <v>0.47580645161290325</v>
      </c>
      <c r="CW46" s="14">
        <v>0.86440677966101698</v>
      </c>
      <c r="CX46" s="14">
        <v>0.10169491525423729</v>
      </c>
      <c r="CY46" s="14">
        <v>1.6949152542372881E-2</v>
      </c>
      <c r="CZ46" s="14">
        <v>0</v>
      </c>
      <c r="DA46" s="14">
        <v>1.6949152542372881E-2</v>
      </c>
      <c r="DB46" s="30">
        <v>5</v>
      </c>
      <c r="DC46" s="14" t="s">
        <v>474</v>
      </c>
      <c r="DD46" s="17" t="s">
        <v>437</v>
      </c>
      <c r="DE46" s="17" t="s">
        <v>437</v>
      </c>
      <c r="DF46" s="17" t="s">
        <v>453</v>
      </c>
      <c r="DG46" s="21">
        <v>30.450000000000003</v>
      </c>
      <c r="DH46" s="16">
        <v>109</v>
      </c>
      <c r="DI46" s="16">
        <v>0</v>
      </c>
      <c r="DJ46" s="16">
        <v>45</v>
      </c>
      <c r="DK46" s="23">
        <v>0.41284403669724773</v>
      </c>
      <c r="DL46" s="16">
        <v>1</v>
      </c>
      <c r="DM46">
        <v>5</v>
      </c>
      <c r="DN46" s="25"/>
      <c r="DO46" s="25"/>
      <c r="DP46" s="25"/>
      <c r="DQ46" s="26"/>
      <c r="DR46" s="26"/>
    </row>
    <row r="47" spans="1:122" ht="14.25" customHeight="1">
      <c r="A47" s="2">
        <v>5005</v>
      </c>
      <c r="B47" s="3" t="s">
        <v>197</v>
      </c>
      <c r="C47" s="3" t="s">
        <v>203</v>
      </c>
      <c r="D47" s="4">
        <v>45</v>
      </c>
      <c r="E47" s="3" t="s">
        <v>311</v>
      </c>
      <c r="F47" s="3" t="s">
        <v>312</v>
      </c>
      <c r="G47" s="4" t="s">
        <v>313</v>
      </c>
      <c r="H47" s="4" t="b">
        <v>1</v>
      </c>
      <c r="I47" s="4" t="b">
        <v>1</v>
      </c>
      <c r="J47" s="5" t="s">
        <v>313</v>
      </c>
      <c r="K47" s="5" t="s">
        <v>203</v>
      </c>
      <c r="L47" s="5" t="s">
        <v>311</v>
      </c>
      <c r="M47" s="5" t="s">
        <v>312</v>
      </c>
      <c r="N47" s="2" t="s">
        <v>15</v>
      </c>
      <c r="O47" s="2" t="s">
        <v>401</v>
      </c>
      <c r="P47" s="2">
        <v>70556</v>
      </c>
      <c r="Q47" s="2" t="s">
        <v>402</v>
      </c>
      <c r="R47" s="2">
        <v>556</v>
      </c>
      <c r="S47" s="2">
        <v>272</v>
      </c>
      <c r="T47" s="2">
        <v>272</v>
      </c>
      <c r="U47" s="2">
        <v>9</v>
      </c>
      <c r="V47" s="2">
        <v>263</v>
      </c>
      <c r="W47" s="2">
        <v>148</v>
      </c>
      <c r="X47" s="2">
        <v>58</v>
      </c>
      <c r="Y47" s="2">
        <v>0</v>
      </c>
      <c r="Z47" s="2">
        <v>5</v>
      </c>
      <c r="AA47" s="2">
        <v>15</v>
      </c>
      <c r="AB47" s="2">
        <v>8</v>
      </c>
      <c r="AC47" s="2">
        <v>9</v>
      </c>
      <c r="AD47" s="2">
        <v>0</v>
      </c>
      <c r="AE47" s="2">
        <v>3</v>
      </c>
      <c r="AF47" s="2">
        <v>2</v>
      </c>
      <c r="AG47" s="2">
        <v>8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2</v>
      </c>
      <c r="AN47" s="2">
        <v>2</v>
      </c>
      <c r="AO47" s="2">
        <v>3</v>
      </c>
      <c r="AP47" s="2">
        <v>556</v>
      </c>
      <c r="AQ47" s="2">
        <v>272</v>
      </c>
      <c r="AR47" s="2">
        <v>272</v>
      </c>
      <c r="AS47" s="2">
        <v>6</v>
      </c>
      <c r="AT47" s="2">
        <v>266</v>
      </c>
      <c r="AU47" s="2">
        <v>0</v>
      </c>
      <c r="AV47" s="2">
        <v>3</v>
      </c>
      <c r="AW47" s="2">
        <v>2</v>
      </c>
      <c r="AX47" s="2">
        <v>26</v>
      </c>
      <c r="AY47" s="2">
        <v>12</v>
      </c>
      <c r="AZ47" s="2">
        <v>207</v>
      </c>
      <c r="BA47" s="2">
        <v>6</v>
      </c>
      <c r="BB47" s="2">
        <v>10</v>
      </c>
      <c r="BC47" s="11" t="s">
        <v>15</v>
      </c>
      <c r="BD47" s="11" t="s">
        <v>425</v>
      </c>
      <c r="BE47" s="11">
        <v>70556</v>
      </c>
      <c r="BF47" s="11" t="s">
        <v>402</v>
      </c>
      <c r="BG47" s="11">
        <v>45</v>
      </c>
      <c r="BH47" s="11">
        <v>534</v>
      </c>
      <c r="BI47" s="11">
        <v>240</v>
      </c>
      <c r="BJ47" s="11">
        <v>240</v>
      </c>
      <c r="BK47" s="11">
        <v>11</v>
      </c>
      <c r="BL47" s="11">
        <v>229</v>
      </c>
      <c r="BM47" s="11">
        <v>150</v>
      </c>
      <c r="BN47" s="11">
        <v>34</v>
      </c>
      <c r="BO47" s="11">
        <v>2</v>
      </c>
      <c r="BP47" s="11">
        <v>8</v>
      </c>
      <c r="BQ47" s="11">
        <v>1</v>
      </c>
      <c r="BR47" s="11">
        <v>1</v>
      </c>
      <c r="BS47" s="11">
        <v>27</v>
      </c>
      <c r="BT47" s="11">
        <v>0</v>
      </c>
      <c r="BU47" s="11">
        <v>0</v>
      </c>
      <c r="BV47" s="11">
        <v>0</v>
      </c>
      <c r="BW47" s="11">
        <v>0</v>
      </c>
      <c r="BX47" s="11">
        <v>2</v>
      </c>
      <c r="BY47" s="11">
        <v>0</v>
      </c>
      <c r="BZ47" s="11">
        <v>4</v>
      </c>
      <c r="CA47" s="11">
        <v>0</v>
      </c>
      <c r="CB47" s="11">
        <v>0</v>
      </c>
      <c r="CC47" s="11">
        <v>0</v>
      </c>
      <c r="CD47" s="11">
        <v>0</v>
      </c>
      <c r="CE47">
        <v>186</v>
      </c>
      <c r="CF47">
        <v>9</v>
      </c>
      <c r="CG47">
        <v>29</v>
      </c>
      <c r="CH47">
        <v>4</v>
      </c>
      <c r="CI47">
        <v>1</v>
      </c>
      <c r="CJ47" s="14">
        <v>0.449438202247191</v>
      </c>
      <c r="CK47" s="14">
        <v>0.77500000000000002</v>
      </c>
      <c r="CL47" s="14">
        <v>3.7499999999999999E-2</v>
      </c>
      <c r="CM47" s="14">
        <v>0.12083333333333333</v>
      </c>
      <c r="CN47" s="14">
        <v>1.6666666666666666E-2</v>
      </c>
      <c r="CO47" s="14">
        <v>4.1666666666666666E-3</v>
      </c>
      <c r="CP47" s="30">
        <v>5</v>
      </c>
      <c r="CQ47" s="15">
        <v>211</v>
      </c>
      <c r="CR47">
        <v>27</v>
      </c>
      <c r="CS47">
        <v>20</v>
      </c>
      <c r="CU47">
        <v>5</v>
      </c>
      <c r="CV47" s="14">
        <v>0.48920863309352519</v>
      </c>
      <c r="CW47" s="14">
        <v>0.77573529411764708</v>
      </c>
      <c r="CX47" s="14">
        <v>9.9264705882352935E-2</v>
      </c>
      <c r="CY47" s="14">
        <v>7.3529411764705885E-2</v>
      </c>
      <c r="CZ47" s="14">
        <v>0</v>
      </c>
      <c r="DA47" s="14">
        <v>1.8382352941176471E-2</v>
      </c>
      <c r="DB47" s="30">
        <v>5</v>
      </c>
      <c r="DC47" s="14" t="s">
        <v>474</v>
      </c>
      <c r="DD47" s="17" t="s">
        <v>437</v>
      </c>
      <c r="DE47" s="17" t="s">
        <v>437</v>
      </c>
      <c r="DF47" s="17" t="s">
        <v>453</v>
      </c>
      <c r="DG47" s="21">
        <v>162.25</v>
      </c>
      <c r="DH47" s="16">
        <v>534</v>
      </c>
      <c r="DI47" s="16">
        <v>0</v>
      </c>
      <c r="DJ47" s="16">
        <v>240</v>
      </c>
      <c r="DK47" s="23">
        <v>0.449438202247191</v>
      </c>
      <c r="DL47" s="16">
        <v>1</v>
      </c>
      <c r="DM47">
        <v>5</v>
      </c>
      <c r="DN47" s="25"/>
      <c r="DO47" s="25"/>
      <c r="DP47" s="25"/>
      <c r="DQ47" s="26"/>
      <c r="DR47" s="26"/>
    </row>
    <row r="48" spans="1:122" ht="14.25" customHeight="1">
      <c r="A48" s="2">
        <v>5006</v>
      </c>
      <c r="B48" s="3" t="s">
        <v>197</v>
      </c>
      <c r="C48" s="3" t="s">
        <v>203</v>
      </c>
      <c r="D48" s="4">
        <v>46</v>
      </c>
      <c r="E48" s="3" t="s">
        <v>21</v>
      </c>
      <c r="F48" s="3" t="s">
        <v>314</v>
      </c>
      <c r="G48" s="4" t="s">
        <v>315</v>
      </c>
      <c r="H48" s="4" t="b">
        <v>1</v>
      </c>
      <c r="I48" s="4" t="b">
        <v>1</v>
      </c>
      <c r="J48" s="5" t="s">
        <v>315</v>
      </c>
      <c r="K48" s="5" t="s">
        <v>203</v>
      </c>
      <c r="L48" s="5" t="s">
        <v>21</v>
      </c>
      <c r="M48" s="5" t="s">
        <v>314</v>
      </c>
      <c r="N48" s="2" t="s">
        <v>15</v>
      </c>
      <c r="O48" s="2" t="s">
        <v>401</v>
      </c>
      <c r="P48" s="2">
        <v>70556</v>
      </c>
      <c r="Q48" s="2" t="s">
        <v>402</v>
      </c>
      <c r="R48" s="2">
        <v>147</v>
      </c>
      <c r="S48" s="2">
        <v>109</v>
      </c>
      <c r="T48" s="2">
        <v>109</v>
      </c>
      <c r="U48" s="2">
        <v>2</v>
      </c>
      <c r="V48" s="2">
        <v>107</v>
      </c>
      <c r="W48" s="2">
        <v>77</v>
      </c>
      <c r="X48" s="2">
        <v>19</v>
      </c>
      <c r="Y48" s="2">
        <v>0</v>
      </c>
      <c r="Z48" s="2">
        <v>1</v>
      </c>
      <c r="AA48" s="2">
        <v>7</v>
      </c>
      <c r="AB48" s="2">
        <v>1</v>
      </c>
      <c r="AC48" s="2">
        <v>1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147</v>
      </c>
      <c r="AQ48" s="2">
        <v>109</v>
      </c>
      <c r="AR48" s="2">
        <v>109</v>
      </c>
      <c r="AS48" s="2">
        <v>3</v>
      </c>
      <c r="AT48" s="2">
        <v>106</v>
      </c>
      <c r="AU48" s="2">
        <v>2</v>
      </c>
      <c r="AV48" s="2">
        <v>0</v>
      </c>
      <c r="AW48" s="2">
        <v>0</v>
      </c>
      <c r="AX48" s="2">
        <v>6</v>
      </c>
      <c r="AY48" s="2">
        <v>2</v>
      </c>
      <c r="AZ48" s="2">
        <v>94</v>
      </c>
      <c r="BA48" s="2">
        <v>0</v>
      </c>
      <c r="BB48" s="2">
        <v>2</v>
      </c>
      <c r="BC48" s="11" t="s">
        <v>15</v>
      </c>
      <c r="BD48" s="11" t="s">
        <v>425</v>
      </c>
      <c r="BE48" s="11">
        <v>70556</v>
      </c>
      <c r="BF48" s="11" t="s">
        <v>402</v>
      </c>
      <c r="BG48" s="11">
        <v>46</v>
      </c>
      <c r="BH48" s="11">
        <v>144</v>
      </c>
      <c r="BI48" s="11">
        <v>105</v>
      </c>
      <c r="BJ48" s="11">
        <v>105</v>
      </c>
      <c r="BK48" s="11">
        <v>1</v>
      </c>
      <c r="BL48" s="11">
        <v>104</v>
      </c>
      <c r="BM48" s="11">
        <v>83</v>
      </c>
      <c r="BN48" s="11">
        <v>12</v>
      </c>
      <c r="BO48" s="11">
        <v>1</v>
      </c>
      <c r="BP48" s="11">
        <v>1</v>
      </c>
      <c r="BQ48" s="11">
        <v>0</v>
      </c>
      <c r="BR48" s="11">
        <v>0</v>
      </c>
      <c r="BS48" s="11">
        <v>6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1</v>
      </c>
      <c r="CB48" s="11">
        <v>0</v>
      </c>
      <c r="CC48" s="11">
        <v>0</v>
      </c>
      <c r="CD48" s="11">
        <v>0</v>
      </c>
      <c r="CE48">
        <v>96</v>
      </c>
      <c r="CF48">
        <v>1</v>
      </c>
      <c r="CG48">
        <v>7</v>
      </c>
      <c r="CH48">
        <v>0</v>
      </c>
      <c r="CI48">
        <v>0</v>
      </c>
      <c r="CJ48" s="14">
        <v>0.72916666666666663</v>
      </c>
      <c r="CK48" s="14">
        <v>0.91428571428571426</v>
      </c>
      <c r="CL48" s="14">
        <v>9.5238095238095247E-3</v>
      </c>
      <c r="CM48" s="14">
        <v>6.6666666666666666E-2</v>
      </c>
      <c r="CN48" s="14">
        <v>0</v>
      </c>
      <c r="CO48" s="14">
        <v>0</v>
      </c>
      <c r="CP48" s="30">
        <v>8</v>
      </c>
      <c r="CQ48" s="15">
        <v>97</v>
      </c>
      <c r="CR48">
        <v>2</v>
      </c>
      <c r="CS48">
        <v>8</v>
      </c>
      <c r="CU48">
        <v>0</v>
      </c>
      <c r="CV48" s="14">
        <v>0.74149659863945583</v>
      </c>
      <c r="CW48" s="14">
        <v>0.88990825688073394</v>
      </c>
      <c r="CX48" s="14">
        <v>1.834862385321101E-2</v>
      </c>
      <c r="CY48" s="14">
        <v>7.3394495412844041E-2</v>
      </c>
      <c r="CZ48" s="14">
        <v>0</v>
      </c>
      <c r="DA48" s="14">
        <v>0</v>
      </c>
      <c r="DB48" s="30">
        <v>8</v>
      </c>
      <c r="DC48" s="14" t="s">
        <v>488</v>
      </c>
      <c r="DD48" s="17" t="s">
        <v>439</v>
      </c>
      <c r="DE48" s="17" t="s">
        <v>439</v>
      </c>
      <c r="DF48" s="17" t="s">
        <v>442</v>
      </c>
      <c r="DG48" s="21">
        <v>27.44</v>
      </c>
      <c r="DH48" s="16">
        <v>144</v>
      </c>
      <c r="DI48" s="16">
        <v>0</v>
      </c>
      <c r="DJ48" s="16">
        <v>105</v>
      </c>
      <c r="DK48" s="23">
        <v>0.72916666666666663</v>
      </c>
      <c r="DL48" s="16">
        <v>0</v>
      </c>
      <c r="DM48">
        <v>0</v>
      </c>
      <c r="DN48" s="25"/>
      <c r="DO48" s="25"/>
      <c r="DP48" s="25"/>
      <c r="DQ48" s="26"/>
      <c r="DR48" s="26"/>
    </row>
    <row r="49" spans="1:122" ht="14.25" customHeight="1">
      <c r="A49" s="2">
        <v>5007</v>
      </c>
      <c r="B49" s="3" t="s">
        <v>197</v>
      </c>
      <c r="C49" s="3" t="s">
        <v>203</v>
      </c>
      <c r="D49" s="4">
        <v>47</v>
      </c>
      <c r="E49" s="3" t="s">
        <v>18</v>
      </c>
      <c r="F49" s="3" t="s">
        <v>316</v>
      </c>
      <c r="G49" s="4" t="s">
        <v>317</v>
      </c>
      <c r="H49" s="4" t="b">
        <v>1</v>
      </c>
      <c r="I49" s="4" t="b">
        <v>1</v>
      </c>
      <c r="J49" s="5" t="s">
        <v>317</v>
      </c>
      <c r="K49" s="5" t="s">
        <v>203</v>
      </c>
      <c r="L49" s="5" t="s">
        <v>18</v>
      </c>
      <c r="M49" s="5" t="s">
        <v>316</v>
      </c>
      <c r="N49" s="2" t="s">
        <v>15</v>
      </c>
      <c r="O49" s="2" t="s">
        <v>401</v>
      </c>
      <c r="P49" s="2">
        <v>70556</v>
      </c>
      <c r="Q49" s="2" t="s">
        <v>402</v>
      </c>
      <c r="R49" s="2">
        <v>664</v>
      </c>
      <c r="S49" s="2">
        <v>250</v>
      </c>
      <c r="T49" s="2">
        <v>250</v>
      </c>
      <c r="U49" s="2">
        <v>7</v>
      </c>
      <c r="V49" s="2">
        <v>243</v>
      </c>
      <c r="W49" s="2">
        <v>138</v>
      </c>
      <c r="X49" s="2">
        <v>38</v>
      </c>
      <c r="Y49" s="2">
        <v>0</v>
      </c>
      <c r="Z49" s="2">
        <v>4</v>
      </c>
      <c r="AA49" s="2">
        <v>34</v>
      </c>
      <c r="AB49" s="2">
        <v>6</v>
      </c>
      <c r="AC49" s="2">
        <v>0</v>
      </c>
      <c r="AD49" s="2">
        <v>1</v>
      </c>
      <c r="AE49" s="2">
        <v>2</v>
      </c>
      <c r="AF49" s="2">
        <v>4</v>
      </c>
      <c r="AG49" s="2">
        <v>10</v>
      </c>
      <c r="AH49" s="2">
        <v>0</v>
      </c>
      <c r="AI49" s="2">
        <v>0</v>
      </c>
      <c r="AJ49" s="2">
        <v>3</v>
      </c>
      <c r="AK49" s="2">
        <v>1</v>
      </c>
      <c r="AL49" s="2">
        <v>0</v>
      </c>
      <c r="AM49" s="2">
        <v>2</v>
      </c>
      <c r="AN49" s="2">
        <v>0</v>
      </c>
      <c r="AO49" s="2">
        <v>0</v>
      </c>
      <c r="AP49" s="2">
        <v>664</v>
      </c>
      <c r="AQ49" s="2">
        <v>250</v>
      </c>
      <c r="AR49" s="2">
        <v>250</v>
      </c>
      <c r="AS49" s="2">
        <v>3</v>
      </c>
      <c r="AT49" s="2">
        <v>247</v>
      </c>
      <c r="AU49" s="2">
        <v>6</v>
      </c>
      <c r="AV49" s="2">
        <v>2</v>
      </c>
      <c r="AW49" s="2">
        <v>5</v>
      </c>
      <c r="AX49" s="2">
        <v>33</v>
      </c>
      <c r="AY49" s="2">
        <v>2</v>
      </c>
      <c r="AZ49" s="2">
        <v>182</v>
      </c>
      <c r="BA49" s="2">
        <v>5</v>
      </c>
      <c r="BB49" s="2">
        <v>12</v>
      </c>
      <c r="BC49" s="11" t="s">
        <v>15</v>
      </c>
      <c r="BD49" s="11" t="s">
        <v>425</v>
      </c>
      <c r="BE49" s="11">
        <v>70556</v>
      </c>
      <c r="BF49" s="11" t="s">
        <v>402</v>
      </c>
      <c r="BG49" s="11">
        <v>47</v>
      </c>
      <c r="BH49" s="11">
        <v>665</v>
      </c>
      <c r="BI49" s="11">
        <v>224</v>
      </c>
      <c r="BJ49" s="11">
        <v>224</v>
      </c>
      <c r="BK49" s="11">
        <v>8</v>
      </c>
      <c r="BL49" s="11">
        <v>216</v>
      </c>
      <c r="BM49" s="11">
        <v>137</v>
      </c>
      <c r="BN49" s="11">
        <v>16</v>
      </c>
      <c r="BO49" s="11">
        <v>0</v>
      </c>
      <c r="BP49" s="11">
        <v>3</v>
      </c>
      <c r="BQ49" s="11">
        <v>7</v>
      </c>
      <c r="BR49" s="11">
        <v>0</v>
      </c>
      <c r="BS49" s="11">
        <v>46</v>
      </c>
      <c r="BT49" s="11">
        <v>1</v>
      </c>
      <c r="BU49" s="11">
        <v>1</v>
      </c>
      <c r="BV49" s="11">
        <v>1</v>
      </c>
      <c r="BW49" s="11">
        <v>0</v>
      </c>
      <c r="BX49" s="11">
        <v>0</v>
      </c>
      <c r="BY49" s="11">
        <v>0</v>
      </c>
      <c r="BZ49" s="11">
        <v>2</v>
      </c>
      <c r="CA49" s="11">
        <v>2</v>
      </c>
      <c r="CB49" s="11">
        <v>0</v>
      </c>
      <c r="CC49" s="11">
        <v>0</v>
      </c>
      <c r="CD49" s="11">
        <v>0</v>
      </c>
      <c r="CE49">
        <v>153</v>
      </c>
      <c r="CF49">
        <v>10</v>
      </c>
      <c r="CG49">
        <v>48</v>
      </c>
      <c r="CH49">
        <v>2</v>
      </c>
      <c r="CI49">
        <v>3</v>
      </c>
      <c r="CJ49" s="14">
        <v>0.33684210526315789</v>
      </c>
      <c r="CK49" s="14">
        <v>0.6830357142857143</v>
      </c>
      <c r="CL49" s="14">
        <v>4.4642857142857144E-2</v>
      </c>
      <c r="CM49" s="14">
        <v>0.21428571428571427</v>
      </c>
      <c r="CN49" s="14">
        <v>8.9285714285714281E-3</v>
      </c>
      <c r="CO49" s="14">
        <v>1.3392857142857142E-2</v>
      </c>
      <c r="CP49" s="30">
        <v>5</v>
      </c>
      <c r="CQ49" s="15">
        <v>180</v>
      </c>
      <c r="CR49">
        <v>20</v>
      </c>
      <c r="CS49">
        <v>41</v>
      </c>
      <c r="CU49">
        <v>2</v>
      </c>
      <c r="CV49" s="14">
        <v>0.37650602409638556</v>
      </c>
      <c r="CW49" s="14">
        <v>0.72</v>
      </c>
      <c r="CX49" s="14">
        <v>0.08</v>
      </c>
      <c r="CY49" s="14">
        <v>0.16400000000000001</v>
      </c>
      <c r="CZ49" s="14">
        <v>0</v>
      </c>
      <c r="DA49" s="14">
        <v>8.0000000000000002E-3</v>
      </c>
      <c r="DB49" s="30">
        <v>5</v>
      </c>
      <c r="DC49" s="14" t="s">
        <v>474</v>
      </c>
      <c r="DD49" s="17" t="s">
        <v>437</v>
      </c>
      <c r="DE49" s="17" t="s">
        <v>437</v>
      </c>
      <c r="DF49" s="17" t="s">
        <v>453</v>
      </c>
      <c r="DG49" s="21">
        <v>234.61</v>
      </c>
      <c r="DH49" s="16">
        <v>665</v>
      </c>
      <c r="DI49" s="16">
        <v>0</v>
      </c>
      <c r="DJ49" s="16">
        <v>224</v>
      </c>
      <c r="DK49" s="23">
        <v>0.33684210526315789</v>
      </c>
      <c r="DL49" s="16">
        <v>1</v>
      </c>
      <c r="DM49">
        <v>5</v>
      </c>
      <c r="DN49" s="25"/>
      <c r="DO49" s="25"/>
      <c r="DP49" s="25"/>
      <c r="DQ49" s="26"/>
      <c r="DR49" s="26"/>
    </row>
    <row r="50" spans="1:122" ht="14.25" customHeight="1">
      <c r="A50" s="2">
        <v>5008</v>
      </c>
      <c r="B50" s="3" t="s">
        <v>197</v>
      </c>
      <c r="C50" s="3" t="s">
        <v>203</v>
      </c>
      <c r="D50" s="4">
        <v>48</v>
      </c>
      <c r="E50" s="3" t="s">
        <v>12</v>
      </c>
      <c r="F50" s="3" t="s">
        <v>318</v>
      </c>
      <c r="G50" s="4" t="s">
        <v>319</v>
      </c>
      <c r="H50" s="4" t="b">
        <v>1</v>
      </c>
      <c r="I50" s="4" t="b">
        <v>1</v>
      </c>
      <c r="J50" s="5" t="s">
        <v>319</v>
      </c>
      <c r="K50" s="5" t="s">
        <v>203</v>
      </c>
      <c r="L50" s="5" t="s">
        <v>12</v>
      </c>
      <c r="M50" s="5" t="s">
        <v>318</v>
      </c>
      <c r="N50" s="2" t="s">
        <v>15</v>
      </c>
      <c r="O50" s="2" t="s">
        <v>401</v>
      </c>
      <c r="P50" s="2">
        <v>70556</v>
      </c>
      <c r="Q50" s="2" t="s">
        <v>402</v>
      </c>
      <c r="R50" s="2">
        <v>292</v>
      </c>
      <c r="S50" s="2">
        <v>161</v>
      </c>
      <c r="T50" s="2">
        <v>161</v>
      </c>
      <c r="U50" s="2">
        <v>6</v>
      </c>
      <c r="V50" s="2">
        <v>155</v>
      </c>
      <c r="W50" s="2">
        <v>79</v>
      </c>
      <c r="X50" s="2">
        <v>18</v>
      </c>
      <c r="Y50" s="2">
        <v>0</v>
      </c>
      <c r="Z50" s="2">
        <v>8</v>
      </c>
      <c r="AA50" s="2">
        <v>12</v>
      </c>
      <c r="AB50" s="2">
        <v>11</v>
      </c>
      <c r="AC50" s="2">
        <v>8</v>
      </c>
      <c r="AD50" s="2">
        <v>2</v>
      </c>
      <c r="AE50" s="2">
        <v>2</v>
      </c>
      <c r="AF50" s="2">
        <v>5</v>
      </c>
      <c r="AG50" s="2">
        <v>4</v>
      </c>
      <c r="AH50" s="2">
        <v>0</v>
      </c>
      <c r="AI50" s="2">
        <v>0</v>
      </c>
      <c r="AJ50" s="2">
        <v>5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v>292</v>
      </c>
      <c r="AQ50" s="2">
        <v>161</v>
      </c>
      <c r="AR50" s="2">
        <v>161</v>
      </c>
      <c r="AS50" s="2">
        <v>8</v>
      </c>
      <c r="AT50" s="2">
        <v>153</v>
      </c>
      <c r="AU50" s="2">
        <v>5</v>
      </c>
      <c r="AV50" s="2">
        <v>2</v>
      </c>
      <c r="AW50" s="2">
        <v>1</v>
      </c>
      <c r="AX50" s="2">
        <v>11</v>
      </c>
      <c r="AY50" s="2">
        <v>7</v>
      </c>
      <c r="AZ50" s="2">
        <v>105</v>
      </c>
      <c r="BA50" s="2">
        <v>15</v>
      </c>
      <c r="BB50" s="2">
        <v>7</v>
      </c>
      <c r="BC50" s="11" t="s">
        <v>15</v>
      </c>
      <c r="BD50" s="11" t="s">
        <v>425</v>
      </c>
      <c r="BE50" s="11">
        <v>70556</v>
      </c>
      <c r="BF50" s="11" t="s">
        <v>402</v>
      </c>
      <c r="BG50" s="11">
        <v>48</v>
      </c>
      <c r="BH50" s="11">
        <v>272</v>
      </c>
      <c r="BI50" s="11">
        <v>153</v>
      </c>
      <c r="BJ50" s="11">
        <v>153</v>
      </c>
      <c r="BK50" s="11">
        <v>6</v>
      </c>
      <c r="BL50" s="11">
        <v>147</v>
      </c>
      <c r="BM50" s="11">
        <v>87</v>
      </c>
      <c r="BN50" s="11">
        <v>15</v>
      </c>
      <c r="BO50" s="11">
        <v>3</v>
      </c>
      <c r="BP50" s="11">
        <v>2</v>
      </c>
      <c r="BQ50" s="11">
        <v>8</v>
      </c>
      <c r="BR50" s="11">
        <v>0</v>
      </c>
      <c r="BS50" s="11">
        <v>17</v>
      </c>
      <c r="BT50" s="11">
        <v>0</v>
      </c>
      <c r="BU50" s="11">
        <v>1</v>
      </c>
      <c r="BV50" s="11">
        <v>0</v>
      </c>
      <c r="BW50" s="11">
        <v>0</v>
      </c>
      <c r="BX50" s="11">
        <v>5</v>
      </c>
      <c r="BY50" s="11">
        <v>0</v>
      </c>
      <c r="BZ50" s="11">
        <v>5</v>
      </c>
      <c r="CA50" s="11">
        <v>0</v>
      </c>
      <c r="CB50" s="11">
        <v>2</v>
      </c>
      <c r="CC50" s="11">
        <v>2</v>
      </c>
      <c r="CD50" s="11">
        <v>0</v>
      </c>
      <c r="CE50">
        <v>105</v>
      </c>
      <c r="CF50">
        <v>10</v>
      </c>
      <c r="CG50">
        <v>24</v>
      </c>
      <c r="CH50">
        <v>5</v>
      </c>
      <c r="CI50">
        <v>3</v>
      </c>
      <c r="CJ50" s="14">
        <v>0.5625</v>
      </c>
      <c r="CK50" s="14">
        <v>0.68627450980392157</v>
      </c>
      <c r="CL50" s="14">
        <v>6.535947712418301E-2</v>
      </c>
      <c r="CM50" s="14">
        <v>0.15686274509803921</v>
      </c>
      <c r="CN50" s="14">
        <v>3.2679738562091505E-2</v>
      </c>
      <c r="CO50" s="14">
        <v>1.9607843137254902E-2</v>
      </c>
      <c r="CP50" s="30">
        <v>8</v>
      </c>
      <c r="CQ50" s="15">
        <v>105</v>
      </c>
      <c r="CR50">
        <v>28</v>
      </c>
      <c r="CS50">
        <v>19</v>
      </c>
      <c r="CU50">
        <v>3</v>
      </c>
      <c r="CV50" s="14">
        <v>0.55136986301369861</v>
      </c>
      <c r="CW50" s="14">
        <v>0.65217391304347827</v>
      </c>
      <c r="CX50" s="14">
        <v>0.17391304347826086</v>
      </c>
      <c r="CY50" s="14">
        <v>0.11801242236024845</v>
      </c>
      <c r="CZ50" s="14">
        <v>0</v>
      </c>
      <c r="DA50" s="14">
        <v>1.8633540372670808E-2</v>
      </c>
      <c r="DB50" s="30">
        <v>8</v>
      </c>
      <c r="DC50" s="14" t="s">
        <v>488</v>
      </c>
      <c r="DD50" s="17" t="s">
        <v>439</v>
      </c>
      <c r="DE50" s="17" t="s">
        <v>439</v>
      </c>
      <c r="DF50" s="17" t="s">
        <v>442</v>
      </c>
      <c r="DG50" s="21">
        <v>85.48</v>
      </c>
      <c r="DH50" s="16">
        <v>272</v>
      </c>
      <c r="DI50" s="16">
        <v>0</v>
      </c>
      <c r="DJ50" s="16">
        <v>153</v>
      </c>
      <c r="DK50" s="23">
        <v>0.5625</v>
      </c>
      <c r="DL50" s="16">
        <v>0</v>
      </c>
      <c r="DM50">
        <v>0</v>
      </c>
      <c r="DN50" s="25"/>
      <c r="DO50" s="25"/>
      <c r="DP50" s="25"/>
      <c r="DQ50" s="26"/>
      <c r="DR50" s="26"/>
    </row>
    <row r="51" spans="1:122" ht="14.25" customHeight="1">
      <c r="A51" s="2">
        <v>5009</v>
      </c>
      <c r="B51" s="3" t="s">
        <v>197</v>
      </c>
      <c r="C51" s="3" t="s">
        <v>203</v>
      </c>
      <c r="D51" s="4">
        <v>49</v>
      </c>
      <c r="E51" s="3" t="s">
        <v>12</v>
      </c>
      <c r="F51" s="3" t="s">
        <v>320</v>
      </c>
      <c r="G51" s="4" t="s">
        <v>321</v>
      </c>
      <c r="H51" s="4" t="b">
        <v>1</v>
      </c>
      <c r="I51" s="4" t="b">
        <v>1</v>
      </c>
      <c r="J51" s="5" t="s">
        <v>321</v>
      </c>
      <c r="K51" s="5" t="s">
        <v>203</v>
      </c>
      <c r="L51" s="5" t="s">
        <v>12</v>
      </c>
      <c r="M51" s="5" t="s">
        <v>320</v>
      </c>
      <c r="N51" s="2" t="s">
        <v>15</v>
      </c>
      <c r="O51" s="2" t="s">
        <v>401</v>
      </c>
      <c r="P51" s="2">
        <v>70556</v>
      </c>
      <c r="Q51" s="2" t="s">
        <v>402</v>
      </c>
      <c r="R51" s="2">
        <v>103</v>
      </c>
      <c r="S51" s="2">
        <v>61</v>
      </c>
      <c r="T51" s="2">
        <v>61</v>
      </c>
      <c r="U51" s="2">
        <v>2</v>
      </c>
      <c r="V51" s="2">
        <v>59</v>
      </c>
      <c r="W51" s="2">
        <v>34</v>
      </c>
      <c r="X51" s="2">
        <v>15</v>
      </c>
      <c r="Y51" s="2">
        <v>0</v>
      </c>
      <c r="Z51" s="2">
        <v>3</v>
      </c>
      <c r="AA51" s="2">
        <v>0</v>
      </c>
      <c r="AB51" s="2">
        <v>1</v>
      </c>
      <c r="AC51" s="2">
        <v>0</v>
      </c>
      <c r="AD51" s="2">
        <v>0</v>
      </c>
      <c r="AE51" s="2">
        <v>0</v>
      </c>
      <c r="AF51" s="2">
        <v>2</v>
      </c>
      <c r="AG51" s="2">
        <v>3</v>
      </c>
      <c r="AH51" s="2">
        <v>0</v>
      </c>
      <c r="AI51" s="2">
        <v>0</v>
      </c>
      <c r="AJ51" s="2">
        <v>1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103</v>
      </c>
      <c r="AQ51" s="2">
        <v>61</v>
      </c>
      <c r="AR51" s="2">
        <v>61</v>
      </c>
      <c r="AS51" s="2">
        <v>1</v>
      </c>
      <c r="AT51" s="2">
        <v>60</v>
      </c>
      <c r="AU51" s="2">
        <v>3</v>
      </c>
      <c r="AV51" s="2">
        <v>0</v>
      </c>
      <c r="AW51" s="2">
        <v>1</v>
      </c>
      <c r="AX51" s="2">
        <v>1</v>
      </c>
      <c r="AY51" s="2">
        <v>0</v>
      </c>
      <c r="AZ51" s="2">
        <v>46</v>
      </c>
      <c r="BA51" s="2">
        <v>1</v>
      </c>
      <c r="BB51" s="2">
        <v>8</v>
      </c>
      <c r="BC51" s="11" t="s">
        <v>15</v>
      </c>
      <c r="BD51" s="11" t="s">
        <v>425</v>
      </c>
      <c r="BE51" s="11">
        <v>70556</v>
      </c>
      <c r="BF51" s="11" t="s">
        <v>402</v>
      </c>
      <c r="BG51" s="11">
        <v>49</v>
      </c>
      <c r="BH51" s="11">
        <v>96</v>
      </c>
      <c r="BI51" s="11">
        <v>52</v>
      </c>
      <c r="BJ51" s="11">
        <v>52</v>
      </c>
      <c r="BK51" s="11">
        <v>3</v>
      </c>
      <c r="BL51" s="11">
        <v>49</v>
      </c>
      <c r="BM51" s="11">
        <v>33</v>
      </c>
      <c r="BN51" s="11">
        <v>5</v>
      </c>
      <c r="BO51" s="11">
        <v>3</v>
      </c>
      <c r="BP51" s="11">
        <v>1</v>
      </c>
      <c r="BQ51" s="11">
        <v>3</v>
      </c>
      <c r="BR51" s="11">
        <v>0</v>
      </c>
      <c r="BS51" s="11">
        <v>2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2</v>
      </c>
      <c r="CA51" s="11">
        <v>0</v>
      </c>
      <c r="CB51" s="11">
        <v>0</v>
      </c>
      <c r="CC51" s="11">
        <v>0</v>
      </c>
      <c r="CD51" s="11">
        <v>0</v>
      </c>
      <c r="CE51">
        <v>41</v>
      </c>
      <c r="CF51">
        <v>4</v>
      </c>
      <c r="CG51">
        <v>2</v>
      </c>
      <c r="CH51">
        <v>2</v>
      </c>
      <c r="CI51">
        <v>0</v>
      </c>
      <c r="CJ51" s="14">
        <v>0.54166666666666663</v>
      </c>
      <c r="CK51" s="14">
        <v>0.78846153846153844</v>
      </c>
      <c r="CL51" s="14">
        <v>7.6923076923076927E-2</v>
      </c>
      <c r="CM51" s="14">
        <v>3.8461538461538464E-2</v>
      </c>
      <c r="CN51" s="14">
        <v>3.8461538461538464E-2</v>
      </c>
      <c r="CO51" s="14">
        <v>0</v>
      </c>
      <c r="CP51" s="30">
        <v>8</v>
      </c>
      <c r="CQ51" s="15">
        <v>52</v>
      </c>
      <c r="CR51">
        <v>6</v>
      </c>
      <c r="CS51">
        <v>1</v>
      </c>
      <c r="CU51">
        <v>0</v>
      </c>
      <c r="CV51" s="14">
        <v>0.59223300970873782</v>
      </c>
      <c r="CW51" s="14">
        <v>0.85245901639344257</v>
      </c>
      <c r="CX51" s="14">
        <v>9.8360655737704916E-2</v>
      </c>
      <c r="CY51" s="14">
        <v>1.6393442622950821E-2</v>
      </c>
      <c r="CZ51" s="14">
        <v>0</v>
      </c>
      <c r="DA51" s="14">
        <v>0</v>
      </c>
      <c r="DB51" s="30">
        <v>8</v>
      </c>
      <c r="DC51" s="14" t="s">
        <v>488</v>
      </c>
      <c r="DD51" s="17" t="s">
        <v>439</v>
      </c>
      <c r="DE51" s="17" t="s">
        <v>439</v>
      </c>
      <c r="DF51" s="17" t="s">
        <v>442</v>
      </c>
      <c r="DG51" s="21">
        <v>25.560000000000002</v>
      </c>
      <c r="DH51" s="16">
        <v>96</v>
      </c>
      <c r="DI51" s="16">
        <v>0</v>
      </c>
      <c r="DJ51" s="16">
        <v>52</v>
      </c>
      <c r="DK51" s="23">
        <v>0.54166666666666663</v>
      </c>
      <c r="DL51" s="16">
        <v>0</v>
      </c>
      <c r="DM51">
        <v>0</v>
      </c>
      <c r="DN51" s="25"/>
      <c r="DO51" s="25"/>
      <c r="DP51" s="25"/>
      <c r="DQ51" s="26"/>
      <c r="DR51" s="26"/>
    </row>
    <row r="52" spans="1:122" ht="14.25" customHeight="1">
      <c r="A52" s="2">
        <v>5010</v>
      </c>
      <c r="B52" s="3" t="s">
        <v>197</v>
      </c>
      <c r="C52" s="3" t="s">
        <v>203</v>
      </c>
      <c r="D52" s="4">
        <v>50</v>
      </c>
      <c r="E52" s="3" t="s">
        <v>18</v>
      </c>
      <c r="F52" s="3" t="s">
        <v>322</v>
      </c>
      <c r="G52" s="4" t="s">
        <v>323</v>
      </c>
      <c r="H52" s="4" t="b">
        <v>1</v>
      </c>
      <c r="I52" s="4" t="b">
        <v>1</v>
      </c>
      <c r="J52" s="5" t="s">
        <v>323</v>
      </c>
      <c r="K52" s="5" t="s">
        <v>203</v>
      </c>
      <c r="L52" s="5" t="s">
        <v>18</v>
      </c>
      <c r="M52" s="5" t="s">
        <v>322</v>
      </c>
      <c r="N52" s="2" t="s">
        <v>15</v>
      </c>
      <c r="O52" s="2" t="s">
        <v>401</v>
      </c>
      <c r="P52" s="2">
        <v>70556</v>
      </c>
      <c r="Q52" s="2" t="s">
        <v>402</v>
      </c>
      <c r="R52" s="2">
        <v>111</v>
      </c>
      <c r="S52" s="2">
        <v>80</v>
      </c>
      <c r="T52" s="2">
        <v>80</v>
      </c>
      <c r="U52" s="2">
        <v>2</v>
      </c>
      <c r="V52" s="2">
        <v>78</v>
      </c>
      <c r="W52" s="2">
        <v>58</v>
      </c>
      <c r="X52" s="2">
        <v>10</v>
      </c>
      <c r="Y52" s="2">
        <v>0</v>
      </c>
      <c r="Z52" s="2">
        <v>3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4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</v>
      </c>
      <c r="AN52" s="2">
        <v>0</v>
      </c>
      <c r="AO52" s="2">
        <v>1</v>
      </c>
      <c r="AP52" s="2">
        <v>111</v>
      </c>
      <c r="AQ52" s="2">
        <v>80</v>
      </c>
      <c r="AR52" s="2">
        <v>80</v>
      </c>
      <c r="AS52" s="2">
        <v>0</v>
      </c>
      <c r="AT52" s="2">
        <v>80</v>
      </c>
      <c r="AU52" s="2">
        <v>0</v>
      </c>
      <c r="AV52" s="2">
        <v>0</v>
      </c>
      <c r="AW52" s="2">
        <v>1</v>
      </c>
      <c r="AX52" s="2">
        <v>3</v>
      </c>
      <c r="AY52" s="2">
        <v>2</v>
      </c>
      <c r="AZ52" s="2">
        <v>68</v>
      </c>
      <c r="BA52" s="2">
        <v>1</v>
      </c>
      <c r="BB52" s="2">
        <v>5</v>
      </c>
      <c r="BC52" s="11" t="s">
        <v>15</v>
      </c>
      <c r="BD52" s="11" t="s">
        <v>425</v>
      </c>
      <c r="BE52" s="11">
        <v>70556</v>
      </c>
      <c r="BF52" s="11" t="s">
        <v>402</v>
      </c>
      <c r="BG52" s="11">
        <v>50</v>
      </c>
      <c r="BH52" s="11">
        <v>108</v>
      </c>
      <c r="BI52" s="11">
        <v>70</v>
      </c>
      <c r="BJ52" s="11">
        <v>70</v>
      </c>
      <c r="BK52" s="11">
        <v>1</v>
      </c>
      <c r="BL52" s="11">
        <v>69</v>
      </c>
      <c r="BM52" s="11">
        <v>57</v>
      </c>
      <c r="BN52" s="11">
        <v>4</v>
      </c>
      <c r="BO52" s="11">
        <v>1</v>
      </c>
      <c r="BP52" s="11">
        <v>1</v>
      </c>
      <c r="BQ52" s="11">
        <v>3</v>
      </c>
      <c r="BR52" s="11">
        <v>0</v>
      </c>
      <c r="BS52" s="11">
        <v>2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1</v>
      </c>
      <c r="CA52" s="11">
        <v>0</v>
      </c>
      <c r="CB52" s="11">
        <v>0</v>
      </c>
      <c r="CC52" s="11">
        <v>0</v>
      </c>
      <c r="CD52" s="11">
        <v>0</v>
      </c>
      <c r="CE52">
        <v>62</v>
      </c>
      <c r="CF52">
        <v>4</v>
      </c>
      <c r="CG52">
        <v>2</v>
      </c>
      <c r="CH52">
        <v>1</v>
      </c>
      <c r="CI52">
        <v>0</v>
      </c>
      <c r="CJ52" s="14">
        <v>0.64814814814814814</v>
      </c>
      <c r="CK52" s="14">
        <v>0.88571428571428568</v>
      </c>
      <c r="CL52" s="14">
        <v>5.7142857142857141E-2</v>
      </c>
      <c r="CM52" s="14">
        <v>2.8571428571428571E-2</v>
      </c>
      <c r="CN52" s="14">
        <v>1.4285714285714285E-2</v>
      </c>
      <c r="CO52" s="14">
        <v>0</v>
      </c>
      <c r="CP52" s="30">
        <v>8</v>
      </c>
      <c r="CQ52" s="15">
        <v>71</v>
      </c>
      <c r="CR52">
        <v>5</v>
      </c>
      <c r="CS52">
        <v>1</v>
      </c>
      <c r="CU52">
        <v>1</v>
      </c>
      <c r="CV52" s="14">
        <v>0.72072072072072069</v>
      </c>
      <c r="CW52" s="14">
        <v>0.88749999999999996</v>
      </c>
      <c r="CX52" s="14">
        <v>6.25E-2</v>
      </c>
      <c r="CY52" s="14">
        <v>1.2500000000000001E-2</v>
      </c>
      <c r="CZ52" s="14">
        <v>0</v>
      </c>
      <c r="DA52" s="14">
        <v>1.2500000000000001E-2</v>
      </c>
      <c r="DB52" s="30">
        <v>8</v>
      </c>
      <c r="DC52" s="14" t="s">
        <v>488</v>
      </c>
      <c r="DD52" s="17" t="s">
        <v>439</v>
      </c>
      <c r="DE52" s="17" t="s">
        <v>439</v>
      </c>
      <c r="DF52" s="17" t="s">
        <v>442</v>
      </c>
      <c r="DG52" s="21">
        <v>22.910000000000004</v>
      </c>
      <c r="DH52" s="16">
        <v>108</v>
      </c>
      <c r="DI52" s="16">
        <v>0</v>
      </c>
      <c r="DJ52" s="16">
        <v>70</v>
      </c>
      <c r="DK52" s="23">
        <v>0.64814814814814814</v>
      </c>
      <c r="DL52" s="16">
        <v>0</v>
      </c>
      <c r="DM52">
        <v>0</v>
      </c>
      <c r="DN52" s="25"/>
      <c r="DO52" s="25"/>
      <c r="DP52" s="25"/>
      <c r="DQ52" s="26"/>
      <c r="DR52" s="26"/>
    </row>
    <row r="53" spans="1:122" ht="14.25" customHeight="1">
      <c r="A53" s="2">
        <v>5011</v>
      </c>
      <c r="B53" s="3" t="s">
        <v>197</v>
      </c>
      <c r="C53" s="3" t="s">
        <v>203</v>
      </c>
      <c r="D53" s="4">
        <v>51</v>
      </c>
      <c r="E53" s="3" t="s">
        <v>12</v>
      </c>
      <c r="F53" s="3" t="s">
        <v>324</v>
      </c>
      <c r="G53" s="4" t="s">
        <v>325</v>
      </c>
      <c r="H53" s="4" t="b">
        <v>1</v>
      </c>
      <c r="I53" s="4" t="b">
        <v>1</v>
      </c>
      <c r="J53" s="5" t="s">
        <v>325</v>
      </c>
      <c r="K53" s="5" t="s">
        <v>203</v>
      </c>
      <c r="L53" s="5" t="s">
        <v>12</v>
      </c>
      <c r="M53" s="5" t="s">
        <v>324</v>
      </c>
      <c r="N53" s="2" t="s">
        <v>15</v>
      </c>
      <c r="O53" s="2" t="s">
        <v>401</v>
      </c>
      <c r="P53" s="2">
        <v>70556</v>
      </c>
      <c r="Q53" s="2" t="s">
        <v>402</v>
      </c>
      <c r="R53" s="2">
        <v>82</v>
      </c>
      <c r="S53" s="2">
        <v>59</v>
      </c>
      <c r="T53" s="2">
        <v>59</v>
      </c>
      <c r="U53" s="2">
        <v>3</v>
      </c>
      <c r="V53" s="2">
        <v>56</v>
      </c>
      <c r="W53" s="2">
        <v>35</v>
      </c>
      <c r="X53" s="2">
        <v>8</v>
      </c>
      <c r="Y53" s="2">
        <v>0</v>
      </c>
      <c r="Z53" s="2">
        <v>0</v>
      </c>
      <c r="AA53" s="2">
        <v>2</v>
      </c>
      <c r="AB53" s="2">
        <v>8</v>
      </c>
      <c r="AC53" s="2">
        <v>0</v>
      </c>
      <c r="AD53" s="2">
        <v>0</v>
      </c>
      <c r="AE53" s="2">
        <v>1</v>
      </c>
      <c r="AF53" s="2">
        <v>1</v>
      </c>
      <c r="AG53" s="2">
        <v>0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82</v>
      </c>
      <c r="AQ53" s="2">
        <v>59</v>
      </c>
      <c r="AR53" s="2">
        <v>59</v>
      </c>
      <c r="AS53" s="2">
        <v>0</v>
      </c>
      <c r="AT53" s="2">
        <v>59</v>
      </c>
      <c r="AU53" s="2">
        <v>1</v>
      </c>
      <c r="AV53" s="2">
        <v>2</v>
      </c>
      <c r="AW53" s="2">
        <v>0</v>
      </c>
      <c r="AX53" s="2">
        <v>2</v>
      </c>
      <c r="AY53" s="2">
        <v>2</v>
      </c>
      <c r="AZ53" s="2">
        <v>46</v>
      </c>
      <c r="BA53" s="2">
        <v>6</v>
      </c>
      <c r="BB53" s="2">
        <v>0</v>
      </c>
      <c r="BC53" s="11" t="s">
        <v>15</v>
      </c>
      <c r="BD53" s="11" t="s">
        <v>425</v>
      </c>
      <c r="BE53" s="11">
        <v>70556</v>
      </c>
      <c r="BF53" s="11" t="s">
        <v>402</v>
      </c>
      <c r="BG53" s="11">
        <v>51</v>
      </c>
      <c r="BH53" s="11">
        <v>83</v>
      </c>
      <c r="BI53" s="11">
        <v>50</v>
      </c>
      <c r="BJ53" s="11">
        <v>50</v>
      </c>
      <c r="BK53" s="11">
        <v>0</v>
      </c>
      <c r="BL53" s="11">
        <v>50</v>
      </c>
      <c r="BM53" s="11">
        <v>36</v>
      </c>
      <c r="BN53" s="11">
        <v>2</v>
      </c>
      <c r="BO53" s="11">
        <v>3</v>
      </c>
      <c r="BP53" s="11">
        <v>0</v>
      </c>
      <c r="BQ53" s="11">
        <v>4</v>
      </c>
      <c r="BR53" s="11">
        <v>0</v>
      </c>
      <c r="BS53" s="11">
        <v>4</v>
      </c>
      <c r="BT53" s="11">
        <v>0</v>
      </c>
      <c r="BU53" s="11">
        <v>0</v>
      </c>
      <c r="BV53" s="11">
        <v>0</v>
      </c>
      <c r="BW53" s="11">
        <v>0</v>
      </c>
      <c r="BX53" s="11">
        <v>1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>
        <v>41</v>
      </c>
      <c r="CF53">
        <v>4</v>
      </c>
      <c r="CG53">
        <v>5</v>
      </c>
      <c r="CH53">
        <v>0</v>
      </c>
      <c r="CI53">
        <v>0</v>
      </c>
      <c r="CJ53" s="14">
        <v>0.60240963855421692</v>
      </c>
      <c r="CK53" s="14">
        <v>0.82</v>
      </c>
      <c r="CL53" s="14">
        <v>0.08</v>
      </c>
      <c r="CM53" s="14">
        <v>0.1</v>
      </c>
      <c r="CN53" s="14">
        <v>0</v>
      </c>
      <c r="CO53" s="14">
        <v>0</v>
      </c>
      <c r="CP53" s="30">
        <v>8</v>
      </c>
      <c r="CQ53" s="15">
        <v>43</v>
      </c>
      <c r="CR53">
        <v>9</v>
      </c>
      <c r="CS53">
        <v>3</v>
      </c>
      <c r="CU53">
        <v>1</v>
      </c>
      <c r="CV53" s="14">
        <v>0.71951219512195119</v>
      </c>
      <c r="CW53" s="14">
        <v>0.72881355932203384</v>
      </c>
      <c r="CX53" s="14">
        <v>0.15254237288135594</v>
      </c>
      <c r="CY53" s="14">
        <v>5.0847457627118647E-2</v>
      </c>
      <c r="CZ53" s="14">
        <v>0</v>
      </c>
      <c r="DA53" s="14">
        <v>1.6949152542372881E-2</v>
      </c>
      <c r="DB53" s="30">
        <v>8</v>
      </c>
      <c r="DC53" s="14" t="s">
        <v>488</v>
      </c>
      <c r="DD53" s="17" t="s">
        <v>439</v>
      </c>
      <c r="DE53" s="17" t="s">
        <v>439</v>
      </c>
      <c r="DF53" s="17" t="s">
        <v>442</v>
      </c>
      <c r="DG53" s="21">
        <v>22.270000000000003</v>
      </c>
      <c r="DH53" s="16">
        <v>83</v>
      </c>
      <c r="DI53" s="16">
        <v>0</v>
      </c>
      <c r="DJ53" s="16">
        <v>50</v>
      </c>
      <c r="DK53" s="23">
        <v>0.60240963855421692</v>
      </c>
      <c r="DL53" s="16">
        <v>0</v>
      </c>
      <c r="DM53">
        <v>0</v>
      </c>
      <c r="DN53" s="25"/>
      <c r="DO53" s="25"/>
      <c r="DP53" s="25"/>
      <c r="DQ53" s="26"/>
      <c r="DR53" s="26"/>
    </row>
    <row r="54" spans="1:122" ht="14.25" customHeight="1">
      <c r="A54" s="2">
        <v>5012</v>
      </c>
      <c r="B54" s="3" t="s">
        <v>197</v>
      </c>
      <c r="C54" s="3" t="s">
        <v>203</v>
      </c>
      <c r="D54" s="4">
        <v>52</v>
      </c>
      <c r="E54" s="3" t="s">
        <v>18</v>
      </c>
      <c r="F54" s="3" t="s">
        <v>202</v>
      </c>
      <c r="G54" s="4" t="s">
        <v>326</v>
      </c>
      <c r="H54" s="4" t="b">
        <v>1</v>
      </c>
      <c r="I54" s="4" t="b">
        <v>1</v>
      </c>
      <c r="J54" s="5" t="s">
        <v>326</v>
      </c>
      <c r="K54" s="5" t="s">
        <v>203</v>
      </c>
      <c r="L54" s="5" t="s">
        <v>18</v>
      </c>
      <c r="M54" s="5" t="s">
        <v>202</v>
      </c>
      <c r="N54" s="2" t="s">
        <v>15</v>
      </c>
      <c r="O54" s="2" t="s">
        <v>401</v>
      </c>
      <c r="P54" s="2">
        <v>70556</v>
      </c>
      <c r="Q54" s="2" t="s">
        <v>402</v>
      </c>
      <c r="R54" s="2">
        <v>230</v>
      </c>
      <c r="S54" s="2">
        <v>133</v>
      </c>
      <c r="T54" s="2">
        <v>133</v>
      </c>
      <c r="U54" s="2">
        <v>5</v>
      </c>
      <c r="V54" s="2">
        <v>128</v>
      </c>
      <c r="W54" s="2">
        <v>77</v>
      </c>
      <c r="X54" s="2">
        <v>12</v>
      </c>
      <c r="Y54" s="2">
        <v>0</v>
      </c>
      <c r="Z54" s="2">
        <v>5</v>
      </c>
      <c r="AA54" s="2">
        <v>2</v>
      </c>
      <c r="AB54" s="2">
        <v>3</v>
      </c>
      <c r="AC54" s="2">
        <v>3</v>
      </c>
      <c r="AD54" s="2">
        <v>0</v>
      </c>
      <c r="AE54" s="2">
        <v>9</v>
      </c>
      <c r="AF54" s="2">
        <v>9</v>
      </c>
      <c r="AG54" s="2">
        <v>7</v>
      </c>
      <c r="AH54" s="2">
        <v>0</v>
      </c>
      <c r="AI54" s="2">
        <v>0</v>
      </c>
      <c r="AJ54" s="2">
        <v>1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230</v>
      </c>
      <c r="AQ54" s="2">
        <v>133</v>
      </c>
      <c r="AR54" s="2">
        <v>133</v>
      </c>
      <c r="AS54" s="2">
        <v>5</v>
      </c>
      <c r="AT54" s="2">
        <v>128</v>
      </c>
      <c r="AU54" s="2">
        <v>2</v>
      </c>
      <c r="AV54" s="2">
        <v>9</v>
      </c>
      <c r="AW54" s="2">
        <v>6</v>
      </c>
      <c r="AX54" s="2">
        <v>5</v>
      </c>
      <c r="AY54" s="2">
        <v>3</v>
      </c>
      <c r="AZ54" s="2">
        <v>91</v>
      </c>
      <c r="BA54" s="2">
        <v>0</v>
      </c>
      <c r="BB54" s="2">
        <v>12</v>
      </c>
      <c r="BC54" s="11" t="s">
        <v>15</v>
      </c>
      <c r="BD54" s="11" t="s">
        <v>425</v>
      </c>
      <c r="BE54" s="11">
        <v>70556</v>
      </c>
      <c r="BF54" s="11" t="s">
        <v>402</v>
      </c>
      <c r="BG54" s="11">
        <v>52</v>
      </c>
      <c r="BH54" s="11">
        <v>224</v>
      </c>
      <c r="BI54" s="11">
        <v>127</v>
      </c>
      <c r="BJ54" s="11">
        <v>127</v>
      </c>
      <c r="BK54" s="11">
        <v>4</v>
      </c>
      <c r="BL54" s="11">
        <v>123</v>
      </c>
      <c r="BM54" s="11">
        <v>75</v>
      </c>
      <c r="BN54" s="11">
        <v>6</v>
      </c>
      <c r="BO54" s="11">
        <v>2</v>
      </c>
      <c r="BP54" s="11">
        <v>0</v>
      </c>
      <c r="BQ54" s="11">
        <v>15</v>
      </c>
      <c r="BR54" s="11">
        <v>1</v>
      </c>
      <c r="BS54" s="11">
        <v>12</v>
      </c>
      <c r="BT54" s="11">
        <v>1</v>
      </c>
      <c r="BU54" s="11">
        <v>0</v>
      </c>
      <c r="BV54" s="11">
        <v>0</v>
      </c>
      <c r="BW54" s="11">
        <v>1</v>
      </c>
      <c r="BX54" s="11">
        <v>1</v>
      </c>
      <c r="BY54" s="11">
        <v>0</v>
      </c>
      <c r="BZ54" s="11">
        <v>6</v>
      </c>
      <c r="CA54" s="11">
        <v>0</v>
      </c>
      <c r="CB54" s="11">
        <v>1</v>
      </c>
      <c r="CC54" s="11">
        <v>1</v>
      </c>
      <c r="CD54" s="11">
        <v>1</v>
      </c>
      <c r="CE54">
        <v>83</v>
      </c>
      <c r="CF54">
        <v>16</v>
      </c>
      <c r="CG54">
        <v>14</v>
      </c>
      <c r="CH54">
        <v>6</v>
      </c>
      <c r="CI54">
        <v>4</v>
      </c>
      <c r="CJ54" s="14">
        <v>0.5669642857142857</v>
      </c>
      <c r="CK54" s="14">
        <v>0.65354330708661412</v>
      </c>
      <c r="CL54" s="14">
        <v>0.12598425196850394</v>
      </c>
      <c r="CM54" s="14">
        <v>0.11023622047244094</v>
      </c>
      <c r="CN54" s="14">
        <v>4.7244094488188976E-2</v>
      </c>
      <c r="CO54" s="14">
        <v>3.1496062992125984E-2</v>
      </c>
      <c r="CP54" s="30">
        <v>3</v>
      </c>
      <c r="CQ54" s="15">
        <v>94</v>
      </c>
      <c r="CR54">
        <v>22</v>
      </c>
      <c r="CS54">
        <v>12</v>
      </c>
      <c r="CU54">
        <v>0</v>
      </c>
      <c r="CV54" s="14">
        <v>0.57826086956521738</v>
      </c>
      <c r="CW54" s="14">
        <v>0.70676691729323304</v>
      </c>
      <c r="CX54" s="14">
        <v>0.16541353383458646</v>
      </c>
      <c r="CY54" s="14">
        <v>9.0225563909774431E-2</v>
      </c>
      <c r="CZ54" s="14">
        <v>0</v>
      </c>
      <c r="DA54" s="14">
        <v>0</v>
      </c>
      <c r="DB54" s="30">
        <v>8</v>
      </c>
      <c r="DC54" s="14" t="s">
        <v>480</v>
      </c>
      <c r="DD54" s="17" t="s">
        <v>435</v>
      </c>
      <c r="DE54" s="17" t="s">
        <v>439</v>
      </c>
      <c r="DF54" s="17" t="s">
        <v>447</v>
      </c>
      <c r="DG54" s="21">
        <v>71.17</v>
      </c>
      <c r="DH54" s="16">
        <v>224</v>
      </c>
      <c r="DI54" s="16">
        <v>0</v>
      </c>
      <c r="DJ54" s="16">
        <v>127</v>
      </c>
      <c r="DK54" s="23">
        <v>0.5669642857142857</v>
      </c>
      <c r="DL54" s="16">
        <v>1</v>
      </c>
      <c r="DM54">
        <v>4</v>
      </c>
      <c r="DN54" s="25"/>
      <c r="DO54" s="25"/>
      <c r="DP54" s="25"/>
      <c r="DQ54" s="26"/>
      <c r="DR54" s="26"/>
    </row>
    <row r="55" spans="1:122" ht="14.25" customHeight="1">
      <c r="A55" s="2">
        <v>5013</v>
      </c>
      <c r="B55" s="3" t="s">
        <v>197</v>
      </c>
      <c r="C55" s="3" t="s">
        <v>203</v>
      </c>
      <c r="D55" s="4">
        <v>53</v>
      </c>
      <c r="E55" s="3" t="s">
        <v>12</v>
      </c>
      <c r="F55" s="3" t="s">
        <v>327</v>
      </c>
      <c r="G55" s="4" t="s">
        <v>328</v>
      </c>
      <c r="H55" s="4" t="b">
        <v>1</v>
      </c>
      <c r="I55" s="4" t="b">
        <v>1</v>
      </c>
      <c r="J55" s="5" t="s">
        <v>328</v>
      </c>
      <c r="K55" s="5" t="s">
        <v>203</v>
      </c>
      <c r="L55" s="5" t="s">
        <v>12</v>
      </c>
      <c r="M55" s="5" t="s">
        <v>327</v>
      </c>
      <c r="N55" s="2" t="s">
        <v>15</v>
      </c>
      <c r="O55" s="2" t="s">
        <v>401</v>
      </c>
      <c r="P55" s="2">
        <v>70556</v>
      </c>
      <c r="Q55" s="2" t="s">
        <v>402</v>
      </c>
      <c r="R55" s="2">
        <v>129</v>
      </c>
      <c r="S55" s="2">
        <v>74</v>
      </c>
      <c r="T55" s="2">
        <v>74</v>
      </c>
      <c r="U55" s="2">
        <v>1</v>
      </c>
      <c r="V55" s="2">
        <v>73</v>
      </c>
      <c r="W55" s="2">
        <v>56</v>
      </c>
      <c r="X55" s="2">
        <v>8</v>
      </c>
      <c r="Y55" s="2">
        <v>0</v>
      </c>
      <c r="Z55" s="2">
        <v>1</v>
      </c>
      <c r="AA55" s="2">
        <v>0</v>
      </c>
      <c r="AB55" s="2">
        <v>3</v>
      </c>
      <c r="AC55" s="2">
        <v>0</v>
      </c>
      <c r="AD55" s="2">
        <v>1</v>
      </c>
      <c r="AE55" s="2">
        <v>0</v>
      </c>
      <c r="AF55" s="2">
        <v>3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129</v>
      </c>
      <c r="AQ55" s="2">
        <v>74</v>
      </c>
      <c r="AR55" s="2">
        <v>74</v>
      </c>
      <c r="AS55" s="2">
        <v>0</v>
      </c>
      <c r="AT55" s="2">
        <v>74</v>
      </c>
      <c r="AU55" s="2">
        <v>0</v>
      </c>
      <c r="AV55" s="2">
        <v>0</v>
      </c>
      <c r="AW55" s="2">
        <v>4</v>
      </c>
      <c r="AX55" s="2">
        <v>1</v>
      </c>
      <c r="AY55" s="2">
        <v>0</v>
      </c>
      <c r="AZ55" s="2">
        <v>68</v>
      </c>
      <c r="BA55" s="2">
        <v>1</v>
      </c>
      <c r="BB55" s="2">
        <v>0</v>
      </c>
      <c r="BC55" s="11" t="s">
        <v>15</v>
      </c>
      <c r="BD55" s="11" t="s">
        <v>425</v>
      </c>
      <c r="BE55" s="11">
        <v>70556</v>
      </c>
      <c r="BF55" s="11" t="s">
        <v>402</v>
      </c>
      <c r="BG55" s="11">
        <v>53</v>
      </c>
      <c r="BH55" s="11">
        <v>127</v>
      </c>
      <c r="BI55" s="11">
        <v>74</v>
      </c>
      <c r="BJ55" s="11">
        <v>74</v>
      </c>
      <c r="BK55" s="11">
        <v>0</v>
      </c>
      <c r="BL55" s="11">
        <v>74</v>
      </c>
      <c r="BM55" s="11">
        <v>60</v>
      </c>
      <c r="BN55" s="11">
        <v>3</v>
      </c>
      <c r="BO55" s="11">
        <v>0</v>
      </c>
      <c r="BP55" s="11">
        <v>0</v>
      </c>
      <c r="BQ55" s="11">
        <v>5</v>
      </c>
      <c r="BR55" s="11">
        <v>0</v>
      </c>
      <c r="BS55" s="11">
        <v>4</v>
      </c>
      <c r="BT55" s="11">
        <v>1</v>
      </c>
      <c r="BU55" s="11">
        <v>0</v>
      </c>
      <c r="BV55" s="11">
        <v>1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>
        <v>63</v>
      </c>
      <c r="CF55">
        <v>5</v>
      </c>
      <c r="CG55">
        <v>4</v>
      </c>
      <c r="CH55">
        <v>0</v>
      </c>
      <c r="CI55">
        <v>2</v>
      </c>
      <c r="CJ55" s="14">
        <v>0.58267716535433067</v>
      </c>
      <c r="CK55" s="14">
        <v>0.85135135135135132</v>
      </c>
      <c r="CL55" s="14">
        <v>6.7567567567567571E-2</v>
      </c>
      <c r="CM55" s="14">
        <v>5.4054054054054057E-2</v>
      </c>
      <c r="CN55" s="14">
        <v>0</v>
      </c>
      <c r="CO55" s="14">
        <v>2.7027027027027029E-2</v>
      </c>
      <c r="CP55" s="30">
        <v>8</v>
      </c>
      <c r="CQ55" s="15">
        <v>65</v>
      </c>
      <c r="CR55">
        <v>6</v>
      </c>
      <c r="CS55">
        <v>1</v>
      </c>
      <c r="CU55">
        <v>1</v>
      </c>
      <c r="CV55" s="14">
        <v>0.5736434108527132</v>
      </c>
      <c r="CW55" s="14">
        <v>0.8783783783783784</v>
      </c>
      <c r="CX55" s="14">
        <v>8.1081081081081086E-2</v>
      </c>
      <c r="CY55" s="14">
        <v>1.3513513513513514E-2</v>
      </c>
      <c r="CZ55" s="14">
        <v>0</v>
      </c>
      <c r="DA55" s="14">
        <v>1.3513513513513514E-2</v>
      </c>
      <c r="DB55" s="30">
        <v>8</v>
      </c>
      <c r="DC55" s="14" t="s">
        <v>488</v>
      </c>
      <c r="DD55" s="17" t="s">
        <v>439</v>
      </c>
      <c r="DE55" s="17" t="s">
        <v>439</v>
      </c>
      <c r="DF55" s="17" t="s">
        <v>442</v>
      </c>
      <c r="DG55" s="21">
        <v>30.92</v>
      </c>
      <c r="DH55" s="16">
        <v>127</v>
      </c>
      <c r="DI55" s="16">
        <v>0</v>
      </c>
      <c r="DJ55" s="16">
        <v>74</v>
      </c>
      <c r="DK55" s="23">
        <v>0.58267716535433067</v>
      </c>
      <c r="DL55" s="16">
        <v>0</v>
      </c>
      <c r="DM55">
        <v>0</v>
      </c>
      <c r="DN55" s="25"/>
      <c r="DO55" s="25"/>
      <c r="DP55" s="25"/>
      <c r="DQ55" s="26"/>
      <c r="DR55" s="26"/>
    </row>
    <row r="56" spans="1:122" ht="14.25" customHeight="1">
      <c r="A56" s="2">
        <v>5014</v>
      </c>
      <c r="B56" s="3" t="s">
        <v>197</v>
      </c>
      <c r="C56" s="3" t="s">
        <v>203</v>
      </c>
      <c r="D56" s="4">
        <v>54</v>
      </c>
      <c r="E56" s="3" t="s">
        <v>12</v>
      </c>
      <c r="F56" s="3" t="s">
        <v>329</v>
      </c>
      <c r="G56" s="4" t="s">
        <v>330</v>
      </c>
      <c r="H56" s="4" t="b">
        <v>1</v>
      </c>
      <c r="I56" s="4" t="b">
        <v>1</v>
      </c>
      <c r="J56" s="5" t="s">
        <v>330</v>
      </c>
      <c r="K56" s="5" t="s">
        <v>203</v>
      </c>
      <c r="L56" s="5" t="s">
        <v>12</v>
      </c>
      <c r="M56" s="5" t="s">
        <v>329</v>
      </c>
      <c r="N56" s="2" t="s">
        <v>15</v>
      </c>
      <c r="O56" s="2" t="s">
        <v>401</v>
      </c>
      <c r="P56" s="2">
        <v>70556</v>
      </c>
      <c r="Q56" s="2" t="s">
        <v>402</v>
      </c>
      <c r="R56" s="2">
        <v>127</v>
      </c>
      <c r="S56" s="2">
        <v>74</v>
      </c>
      <c r="T56" s="2">
        <v>74</v>
      </c>
      <c r="U56" s="2">
        <v>0</v>
      </c>
      <c r="V56" s="2">
        <v>74</v>
      </c>
      <c r="W56" s="2">
        <v>30</v>
      </c>
      <c r="X56" s="2">
        <v>19</v>
      </c>
      <c r="Y56" s="2">
        <v>0</v>
      </c>
      <c r="Z56" s="2">
        <v>0</v>
      </c>
      <c r="AA56" s="2">
        <v>1</v>
      </c>
      <c r="AB56" s="2">
        <v>9</v>
      </c>
      <c r="AC56" s="2">
        <v>2</v>
      </c>
      <c r="AD56" s="2">
        <v>0</v>
      </c>
      <c r="AE56" s="2">
        <v>2</v>
      </c>
      <c r="AF56" s="2">
        <v>1</v>
      </c>
      <c r="AG56" s="2">
        <v>10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127</v>
      </c>
      <c r="AQ56" s="2">
        <v>74</v>
      </c>
      <c r="AR56" s="2">
        <v>74</v>
      </c>
      <c r="AS56" s="2">
        <v>2</v>
      </c>
      <c r="AT56" s="2">
        <v>72</v>
      </c>
      <c r="AU56" s="2">
        <v>1</v>
      </c>
      <c r="AV56" s="2">
        <v>1</v>
      </c>
      <c r="AW56" s="2">
        <v>1</v>
      </c>
      <c r="AX56" s="2">
        <v>3</v>
      </c>
      <c r="AY56" s="2">
        <v>6</v>
      </c>
      <c r="AZ56" s="2">
        <v>46</v>
      </c>
      <c r="BA56" s="2">
        <v>6</v>
      </c>
      <c r="BB56" s="2">
        <v>8</v>
      </c>
      <c r="BC56" s="11" t="s">
        <v>15</v>
      </c>
      <c r="BD56" s="11" t="s">
        <v>425</v>
      </c>
      <c r="BE56" s="11">
        <v>70556</v>
      </c>
      <c r="BF56" s="11" t="s">
        <v>402</v>
      </c>
      <c r="BG56" s="11">
        <v>54</v>
      </c>
      <c r="BH56" s="11">
        <v>120</v>
      </c>
      <c r="BI56" s="11">
        <v>70</v>
      </c>
      <c r="BJ56" s="11">
        <v>70</v>
      </c>
      <c r="BK56" s="11">
        <v>2</v>
      </c>
      <c r="BL56" s="11">
        <v>68</v>
      </c>
      <c r="BM56" s="11">
        <v>49</v>
      </c>
      <c r="BN56" s="11">
        <v>4</v>
      </c>
      <c r="BO56" s="11">
        <v>0</v>
      </c>
      <c r="BP56" s="11">
        <v>1</v>
      </c>
      <c r="BQ56" s="11">
        <v>3</v>
      </c>
      <c r="BR56" s="11">
        <v>0</v>
      </c>
      <c r="BS56" s="11">
        <v>8</v>
      </c>
      <c r="BT56" s="11">
        <v>2</v>
      </c>
      <c r="BU56" s="11">
        <v>0</v>
      </c>
      <c r="BV56" s="11">
        <v>0</v>
      </c>
      <c r="BW56" s="11">
        <v>0</v>
      </c>
      <c r="BX56" s="11">
        <v>1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>
        <v>53</v>
      </c>
      <c r="CF56">
        <v>4</v>
      </c>
      <c r="CG56">
        <v>9</v>
      </c>
      <c r="CH56">
        <v>0</v>
      </c>
      <c r="CI56">
        <v>2</v>
      </c>
      <c r="CJ56" s="14">
        <v>0.58333333333333337</v>
      </c>
      <c r="CK56" s="14">
        <v>0.75714285714285712</v>
      </c>
      <c r="CL56" s="14">
        <v>5.7142857142857141E-2</v>
      </c>
      <c r="CM56" s="14">
        <v>0.12857142857142856</v>
      </c>
      <c r="CN56" s="14">
        <v>0</v>
      </c>
      <c r="CO56" s="14">
        <v>2.8571428571428571E-2</v>
      </c>
      <c r="CP56" s="30">
        <v>8</v>
      </c>
      <c r="CQ56" s="15">
        <v>49</v>
      </c>
      <c r="CR56">
        <v>22</v>
      </c>
      <c r="CS56">
        <v>3</v>
      </c>
      <c r="CU56">
        <v>0</v>
      </c>
      <c r="CV56" s="14">
        <v>0.58267716535433067</v>
      </c>
      <c r="CW56" s="14">
        <v>0.66216216216216217</v>
      </c>
      <c r="CX56" s="14">
        <v>0.29729729729729731</v>
      </c>
      <c r="CY56" s="14">
        <v>4.0540540540540543E-2</v>
      </c>
      <c r="CZ56" s="14">
        <v>0</v>
      </c>
      <c r="DA56" s="14">
        <v>0</v>
      </c>
      <c r="DB56" s="30">
        <v>3</v>
      </c>
      <c r="DC56" s="14" t="s">
        <v>487</v>
      </c>
      <c r="DD56" s="17" t="s">
        <v>439</v>
      </c>
      <c r="DE56" s="17" t="s">
        <v>435</v>
      </c>
      <c r="DF56" s="17" t="s">
        <v>441</v>
      </c>
      <c r="DG56" s="21">
        <v>33.03</v>
      </c>
      <c r="DH56" s="16">
        <v>120</v>
      </c>
      <c r="DI56" s="16">
        <v>0</v>
      </c>
      <c r="DJ56" s="16">
        <v>70</v>
      </c>
      <c r="DK56" s="23">
        <v>0.58333333333333337</v>
      </c>
      <c r="DL56" s="16">
        <v>0</v>
      </c>
      <c r="DM56">
        <v>0</v>
      </c>
      <c r="DN56" s="25"/>
      <c r="DO56" s="25"/>
      <c r="DP56" s="25"/>
      <c r="DQ56" s="26"/>
      <c r="DR56" s="26"/>
    </row>
    <row r="57" spans="1:122" ht="14.25" customHeight="1">
      <c r="A57" s="2">
        <v>5015</v>
      </c>
      <c r="B57" s="3" t="s">
        <v>197</v>
      </c>
      <c r="C57" s="3" t="s">
        <v>203</v>
      </c>
      <c r="D57" s="4">
        <v>55</v>
      </c>
      <c r="E57" s="3" t="s">
        <v>25</v>
      </c>
      <c r="F57" s="3" t="s">
        <v>331</v>
      </c>
      <c r="G57" s="4" t="s">
        <v>332</v>
      </c>
      <c r="H57" s="4" t="b">
        <v>1</v>
      </c>
      <c r="I57" s="4" t="b">
        <v>1</v>
      </c>
      <c r="J57" s="5" t="s">
        <v>332</v>
      </c>
      <c r="K57" s="5" t="s">
        <v>203</v>
      </c>
      <c r="L57" s="5" t="s">
        <v>25</v>
      </c>
      <c r="M57" s="5" t="s">
        <v>331</v>
      </c>
      <c r="N57" s="2" t="s">
        <v>15</v>
      </c>
      <c r="O57" s="2" t="s">
        <v>401</v>
      </c>
      <c r="P57" s="2">
        <v>70556</v>
      </c>
      <c r="Q57" s="2" t="s">
        <v>402</v>
      </c>
      <c r="R57" s="2">
        <v>88</v>
      </c>
      <c r="S57" s="2">
        <v>63</v>
      </c>
      <c r="T57" s="2">
        <v>63</v>
      </c>
      <c r="U57" s="2">
        <v>6</v>
      </c>
      <c r="V57" s="2">
        <v>57</v>
      </c>
      <c r="W57" s="2">
        <v>19</v>
      </c>
      <c r="X57" s="2">
        <v>19</v>
      </c>
      <c r="Y57" s="2">
        <v>0</v>
      </c>
      <c r="Z57" s="2">
        <v>1</v>
      </c>
      <c r="AA57" s="2">
        <v>10</v>
      </c>
      <c r="AB57" s="2">
        <v>1</v>
      </c>
      <c r="AC57" s="2">
        <v>4</v>
      </c>
      <c r="AD57" s="2">
        <v>0</v>
      </c>
      <c r="AE57" s="2">
        <v>1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88</v>
      </c>
      <c r="AQ57" s="2">
        <v>63</v>
      </c>
      <c r="AR57" s="2">
        <v>63</v>
      </c>
      <c r="AS57" s="2">
        <v>2</v>
      </c>
      <c r="AT57" s="2">
        <v>61</v>
      </c>
      <c r="AU57" s="2">
        <v>2</v>
      </c>
      <c r="AV57" s="2">
        <v>2</v>
      </c>
      <c r="AW57" s="2">
        <v>0</v>
      </c>
      <c r="AX57" s="2">
        <v>12</v>
      </c>
      <c r="AY57" s="2">
        <v>6</v>
      </c>
      <c r="AZ57" s="2">
        <v>38</v>
      </c>
      <c r="BA57" s="2">
        <v>1</v>
      </c>
      <c r="BB57" s="2">
        <v>0</v>
      </c>
      <c r="BC57" s="11" t="s">
        <v>15</v>
      </c>
      <c r="BD57" s="11" t="s">
        <v>425</v>
      </c>
      <c r="BE57" s="11">
        <v>70556</v>
      </c>
      <c r="BF57" s="11" t="s">
        <v>402</v>
      </c>
      <c r="BG57" s="11">
        <v>55</v>
      </c>
      <c r="BH57" s="11">
        <v>77</v>
      </c>
      <c r="BI57" s="11">
        <v>52</v>
      </c>
      <c r="BJ57" s="11">
        <v>52</v>
      </c>
      <c r="BK57" s="11">
        <v>3</v>
      </c>
      <c r="BL57" s="11">
        <v>49</v>
      </c>
      <c r="BM57" s="11">
        <v>19</v>
      </c>
      <c r="BN57" s="11">
        <v>13</v>
      </c>
      <c r="BO57" s="11">
        <v>1</v>
      </c>
      <c r="BP57" s="11">
        <v>3</v>
      </c>
      <c r="BQ57" s="11">
        <v>2</v>
      </c>
      <c r="BR57" s="11">
        <v>0</v>
      </c>
      <c r="BS57" s="11">
        <v>10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1</v>
      </c>
      <c r="CA57" s="11">
        <v>0</v>
      </c>
      <c r="CB57" s="11">
        <v>0</v>
      </c>
      <c r="CC57" s="11">
        <v>0</v>
      </c>
      <c r="CD57" s="11">
        <v>0</v>
      </c>
      <c r="CE57">
        <v>33</v>
      </c>
      <c r="CF57">
        <v>5</v>
      </c>
      <c r="CG57">
        <v>10</v>
      </c>
      <c r="CH57">
        <v>1</v>
      </c>
      <c r="CI57">
        <v>0</v>
      </c>
      <c r="CJ57" s="14">
        <v>0.67532467532467533</v>
      </c>
      <c r="CK57" s="14">
        <v>0.63461538461538458</v>
      </c>
      <c r="CL57" s="14">
        <v>9.6153846153846159E-2</v>
      </c>
      <c r="CM57" s="14">
        <v>0.19230769230769232</v>
      </c>
      <c r="CN57" s="14">
        <v>1.9230769230769232E-2</v>
      </c>
      <c r="CO57" s="14">
        <v>0</v>
      </c>
      <c r="CP57" s="30">
        <v>8</v>
      </c>
      <c r="CQ57" s="15">
        <v>39</v>
      </c>
      <c r="CR57">
        <v>6</v>
      </c>
      <c r="CS57">
        <v>11</v>
      </c>
      <c r="CU57">
        <v>1</v>
      </c>
      <c r="CV57" s="14">
        <v>0.71590909090909094</v>
      </c>
      <c r="CW57" s="14">
        <v>0.61904761904761907</v>
      </c>
      <c r="CX57" s="14">
        <v>9.5238095238095233E-2</v>
      </c>
      <c r="CY57" s="14">
        <v>0.17460317460317459</v>
      </c>
      <c r="CZ57" s="14">
        <v>0</v>
      </c>
      <c r="DA57" s="14">
        <v>1.5873015873015872E-2</v>
      </c>
      <c r="DB57" s="30">
        <v>8</v>
      </c>
      <c r="DC57" s="14" t="s">
        <v>488</v>
      </c>
      <c r="DD57" s="17" t="s">
        <v>439</v>
      </c>
      <c r="DE57" s="17" t="s">
        <v>439</v>
      </c>
      <c r="DF57" s="17" t="s">
        <v>442</v>
      </c>
      <c r="DG57" s="21">
        <v>25.73</v>
      </c>
      <c r="DH57" s="16">
        <v>77</v>
      </c>
      <c r="DI57" s="16">
        <v>0</v>
      </c>
      <c r="DJ57" s="16">
        <v>52</v>
      </c>
      <c r="DK57" s="23">
        <v>0.67532467532467533</v>
      </c>
      <c r="DL57" s="16">
        <v>0</v>
      </c>
      <c r="DM57">
        <v>0</v>
      </c>
      <c r="DN57" s="25"/>
      <c r="DO57" s="25"/>
      <c r="DP57" s="25"/>
      <c r="DQ57" s="26"/>
      <c r="DR57" s="26"/>
    </row>
    <row r="58" spans="1:122" ht="14.25" customHeight="1">
      <c r="A58" s="2">
        <v>5016</v>
      </c>
      <c r="B58" s="3" t="s">
        <v>197</v>
      </c>
      <c r="C58" s="3" t="s">
        <v>203</v>
      </c>
      <c r="D58" s="4">
        <v>56</v>
      </c>
      <c r="E58" s="3" t="s">
        <v>20</v>
      </c>
      <c r="F58" s="3" t="s">
        <v>39</v>
      </c>
      <c r="G58" s="4" t="s">
        <v>333</v>
      </c>
      <c r="H58" s="4" t="b">
        <v>1</v>
      </c>
      <c r="I58" s="4" t="b">
        <v>1</v>
      </c>
      <c r="J58" s="5" t="s">
        <v>333</v>
      </c>
      <c r="K58" s="5" t="s">
        <v>203</v>
      </c>
      <c r="L58" s="5" t="s">
        <v>20</v>
      </c>
      <c r="M58" s="5" t="s">
        <v>39</v>
      </c>
      <c r="N58" s="2" t="s">
        <v>15</v>
      </c>
      <c r="O58" s="2" t="s">
        <v>401</v>
      </c>
      <c r="P58" s="2">
        <v>70556</v>
      </c>
      <c r="Q58" s="2" t="s">
        <v>402</v>
      </c>
      <c r="R58" s="2">
        <v>38</v>
      </c>
      <c r="S58" s="2">
        <v>30</v>
      </c>
      <c r="T58" s="2">
        <v>30</v>
      </c>
      <c r="U58" s="2">
        <v>0</v>
      </c>
      <c r="V58" s="2">
        <v>30</v>
      </c>
      <c r="W58" s="2">
        <v>14</v>
      </c>
      <c r="X58" s="2">
        <v>11</v>
      </c>
      <c r="Y58" s="2">
        <v>0</v>
      </c>
      <c r="Z58" s="2">
        <v>0</v>
      </c>
      <c r="AA58" s="2">
        <v>0</v>
      </c>
      <c r="AB58" s="2">
        <v>1</v>
      </c>
      <c r="AC58" s="2">
        <v>1</v>
      </c>
      <c r="AD58" s="2">
        <v>0</v>
      </c>
      <c r="AE58" s="2">
        <v>2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38</v>
      </c>
      <c r="AQ58" s="2">
        <v>30</v>
      </c>
      <c r="AR58" s="2">
        <v>30</v>
      </c>
      <c r="AS58" s="2">
        <v>0</v>
      </c>
      <c r="AT58" s="2">
        <v>30</v>
      </c>
      <c r="AU58" s="2">
        <v>0</v>
      </c>
      <c r="AV58" s="2">
        <v>1</v>
      </c>
      <c r="AW58" s="2">
        <v>0</v>
      </c>
      <c r="AX58" s="2">
        <v>0</v>
      </c>
      <c r="AY58" s="2">
        <v>1</v>
      </c>
      <c r="AZ58" s="2">
        <v>26</v>
      </c>
      <c r="BA58" s="2">
        <v>2</v>
      </c>
      <c r="BB58" s="2">
        <v>0</v>
      </c>
      <c r="BC58" s="11" t="s">
        <v>15</v>
      </c>
      <c r="BD58" s="11" t="s">
        <v>425</v>
      </c>
      <c r="BE58" s="11">
        <v>70556</v>
      </c>
      <c r="BF58" s="11" t="s">
        <v>402</v>
      </c>
      <c r="BG58" s="11">
        <v>56</v>
      </c>
      <c r="BH58" s="11">
        <v>32</v>
      </c>
      <c r="BI58" s="11">
        <v>28</v>
      </c>
      <c r="BJ58" s="11">
        <v>28</v>
      </c>
      <c r="BK58" s="11">
        <v>1</v>
      </c>
      <c r="BL58" s="11">
        <v>27</v>
      </c>
      <c r="BM58" s="11">
        <v>21</v>
      </c>
      <c r="BN58" s="11">
        <v>1</v>
      </c>
      <c r="BO58" s="11">
        <v>0</v>
      </c>
      <c r="BP58" s="11">
        <v>2</v>
      </c>
      <c r="BQ58" s="11">
        <v>1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2</v>
      </c>
      <c r="CA58" s="11">
        <v>0</v>
      </c>
      <c r="CB58" s="11">
        <v>0</v>
      </c>
      <c r="CC58" s="11">
        <v>0</v>
      </c>
      <c r="CD58" s="11">
        <v>0</v>
      </c>
      <c r="CE58">
        <v>22</v>
      </c>
      <c r="CF58">
        <v>3</v>
      </c>
      <c r="CG58">
        <v>0</v>
      </c>
      <c r="CH58">
        <v>2</v>
      </c>
      <c r="CI58">
        <v>0</v>
      </c>
      <c r="CJ58" s="14">
        <v>0.875</v>
      </c>
      <c r="CK58" s="14">
        <v>0.7857142857142857</v>
      </c>
      <c r="CL58" s="14">
        <v>0.10714285714285714</v>
      </c>
      <c r="CM58" s="14">
        <v>0</v>
      </c>
      <c r="CN58" s="14">
        <v>7.1428571428571425E-2</v>
      </c>
      <c r="CO58" s="14">
        <v>0</v>
      </c>
      <c r="CP58" s="30">
        <v>8</v>
      </c>
      <c r="CQ58" s="15">
        <v>25</v>
      </c>
      <c r="CR58">
        <v>2</v>
      </c>
      <c r="CS58">
        <v>3</v>
      </c>
      <c r="CU58">
        <v>0</v>
      </c>
      <c r="CV58" s="14">
        <v>0.78947368421052633</v>
      </c>
      <c r="CW58" s="14">
        <v>0.83333333333333337</v>
      </c>
      <c r="CX58" s="14">
        <v>6.6666666666666666E-2</v>
      </c>
      <c r="CY58" s="14">
        <v>0.1</v>
      </c>
      <c r="CZ58" s="14">
        <v>0</v>
      </c>
      <c r="DA58" s="14">
        <v>0</v>
      </c>
      <c r="DB58" s="30">
        <v>8</v>
      </c>
      <c r="DC58" s="14" t="s">
        <v>488</v>
      </c>
      <c r="DD58" s="17" t="s">
        <v>439</v>
      </c>
      <c r="DE58" s="17" t="s">
        <v>439</v>
      </c>
      <c r="DF58" s="17" t="s">
        <v>442</v>
      </c>
      <c r="DG58" s="21">
        <v>5.3699999999999992</v>
      </c>
      <c r="DH58" s="16">
        <v>32</v>
      </c>
      <c r="DI58" s="16">
        <v>0</v>
      </c>
      <c r="DJ58" s="16">
        <v>28</v>
      </c>
      <c r="DK58" s="23">
        <v>0.875</v>
      </c>
      <c r="DL58" s="16">
        <v>0</v>
      </c>
      <c r="DM58">
        <v>0</v>
      </c>
      <c r="DN58" s="25"/>
      <c r="DO58" s="25"/>
      <c r="DP58" s="25"/>
      <c r="DQ58" s="26"/>
      <c r="DR58" s="26"/>
    </row>
    <row r="59" spans="1:122" ht="14.25" customHeight="1">
      <c r="A59" s="2">
        <v>5017</v>
      </c>
      <c r="B59" s="3" t="s">
        <v>197</v>
      </c>
      <c r="C59" s="3" t="s">
        <v>203</v>
      </c>
      <c r="D59" s="4">
        <v>57</v>
      </c>
      <c r="E59" s="3" t="s">
        <v>12</v>
      </c>
      <c r="F59" s="3" t="s">
        <v>334</v>
      </c>
      <c r="G59" s="4" t="s">
        <v>335</v>
      </c>
      <c r="H59" s="4" t="b">
        <v>1</v>
      </c>
      <c r="I59" s="4" t="b">
        <v>1</v>
      </c>
      <c r="J59" s="5" t="s">
        <v>335</v>
      </c>
      <c r="K59" s="5" t="s">
        <v>203</v>
      </c>
      <c r="L59" s="5" t="s">
        <v>12</v>
      </c>
      <c r="M59" s="5" t="s">
        <v>334</v>
      </c>
      <c r="N59" s="2" t="s">
        <v>15</v>
      </c>
      <c r="O59" s="2" t="s">
        <v>401</v>
      </c>
      <c r="P59" s="2">
        <v>70556</v>
      </c>
      <c r="Q59" s="2" t="s">
        <v>402</v>
      </c>
      <c r="R59" s="2">
        <v>138</v>
      </c>
      <c r="S59" s="2">
        <v>138</v>
      </c>
      <c r="T59" s="2">
        <v>92</v>
      </c>
      <c r="U59" s="2">
        <v>5</v>
      </c>
      <c r="V59" s="2">
        <v>87</v>
      </c>
      <c r="W59" s="2">
        <v>38</v>
      </c>
      <c r="X59" s="2">
        <v>18</v>
      </c>
      <c r="Y59" s="2">
        <v>0</v>
      </c>
      <c r="Z59" s="2">
        <v>14</v>
      </c>
      <c r="AA59" s="2">
        <v>5</v>
      </c>
      <c r="AB59" s="2">
        <v>2</v>
      </c>
      <c r="AC59" s="2">
        <v>3</v>
      </c>
      <c r="AD59" s="2">
        <v>0</v>
      </c>
      <c r="AE59" s="2">
        <v>2</v>
      </c>
      <c r="AF59" s="2">
        <v>0</v>
      </c>
      <c r="AG59" s="2">
        <v>3</v>
      </c>
      <c r="AH59" s="2">
        <v>0</v>
      </c>
      <c r="AI59" s="2">
        <v>0</v>
      </c>
      <c r="AJ59" s="2">
        <v>2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138</v>
      </c>
      <c r="AQ59" s="2">
        <v>92</v>
      </c>
      <c r="AR59" s="2">
        <v>92</v>
      </c>
      <c r="AS59" s="2">
        <v>0</v>
      </c>
      <c r="AT59" s="2">
        <v>92</v>
      </c>
      <c r="AU59" s="2">
        <v>2</v>
      </c>
      <c r="AV59" s="2">
        <v>3</v>
      </c>
      <c r="AW59" s="2">
        <v>1</v>
      </c>
      <c r="AX59" s="2">
        <v>5</v>
      </c>
      <c r="AY59" s="2">
        <v>8</v>
      </c>
      <c r="AZ59" s="2">
        <v>65</v>
      </c>
      <c r="BA59" s="2">
        <v>4</v>
      </c>
      <c r="BB59" s="2">
        <v>4</v>
      </c>
      <c r="BC59" s="11" t="s">
        <v>15</v>
      </c>
      <c r="BD59" s="11" t="s">
        <v>425</v>
      </c>
      <c r="BE59" s="11">
        <v>70556</v>
      </c>
      <c r="BF59" s="11" t="s">
        <v>402</v>
      </c>
      <c r="BG59" s="11">
        <v>57</v>
      </c>
      <c r="BH59" s="11">
        <v>132</v>
      </c>
      <c r="BI59" s="11">
        <v>83</v>
      </c>
      <c r="BJ59" s="11">
        <v>82</v>
      </c>
      <c r="BK59" s="11">
        <v>1</v>
      </c>
      <c r="BL59" s="11">
        <v>81</v>
      </c>
      <c r="BM59" s="11">
        <v>48</v>
      </c>
      <c r="BN59" s="11">
        <v>5</v>
      </c>
      <c r="BO59" s="11">
        <v>10</v>
      </c>
      <c r="BP59" s="11">
        <v>2</v>
      </c>
      <c r="BQ59" s="11">
        <v>6</v>
      </c>
      <c r="BR59" s="11">
        <v>0</v>
      </c>
      <c r="BS59" s="11">
        <v>9</v>
      </c>
      <c r="BT59" s="11">
        <v>0</v>
      </c>
      <c r="BU59" s="11">
        <v>0</v>
      </c>
      <c r="BV59" s="11">
        <v>0</v>
      </c>
      <c r="BW59" s="11">
        <v>0</v>
      </c>
      <c r="BX59" s="11">
        <v>1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>
        <v>63</v>
      </c>
      <c r="CF59">
        <v>8</v>
      </c>
      <c r="CG59">
        <v>10</v>
      </c>
      <c r="CH59">
        <v>0</v>
      </c>
      <c r="CI59">
        <v>0</v>
      </c>
      <c r="CJ59" s="14">
        <v>0.62878787878787878</v>
      </c>
      <c r="CK59" s="14">
        <v>0.75903614457831325</v>
      </c>
      <c r="CL59" s="14">
        <v>9.6385542168674704E-2</v>
      </c>
      <c r="CM59" s="14">
        <v>0.12048192771084337</v>
      </c>
      <c r="CN59" s="14">
        <v>0</v>
      </c>
      <c r="CO59" s="14">
        <v>0</v>
      </c>
      <c r="CP59" s="30">
        <v>8</v>
      </c>
      <c r="CQ59" s="15">
        <v>70</v>
      </c>
      <c r="CR59">
        <v>8</v>
      </c>
      <c r="CS59">
        <v>9</v>
      </c>
      <c r="CU59">
        <v>0</v>
      </c>
      <c r="CV59" s="14">
        <v>1</v>
      </c>
      <c r="CW59" s="14">
        <v>0.50724637681159424</v>
      </c>
      <c r="CX59" s="14">
        <v>5.7971014492753624E-2</v>
      </c>
      <c r="CY59" s="14">
        <v>6.5217391304347824E-2</v>
      </c>
      <c r="CZ59" s="14">
        <v>0</v>
      </c>
      <c r="DA59" s="14">
        <v>0</v>
      </c>
      <c r="DB59" s="30">
        <v>8</v>
      </c>
      <c r="DC59" s="14" t="s">
        <v>488</v>
      </c>
      <c r="DD59" s="17" t="s">
        <v>439</v>
      </c>
      <c r="DE59" s="17" t="s">
        <v>439</v>
      </c>
      <c r="DF59" s="17" t="s">
        <v>442</v>
      </c>
      <c r="DG59" s="21">
        <v>36.629999999999995</v>
      </c>
      <c r="DH59" s="16">
        <v>132</v>
      </c>
      <c r="DI59" s="16">
        <v>0</v>
      </c>
      <c r="DJ59" s="16">
        <v>82</v>
      </c>
      <c r="DK59" s="23">
        <v>0.62121212121212122</v>
      </c>
      <c r="DL59" s="16">
        <v>0</v>
      </c>
      <c r="DM59">
        <v>0</v>
      </c>
      <c r="DN59" s="25"/>
      <c r="DO59" s="25"/>
      <c r="DP59" s="25"/>
      <c r="DQ59" s="26"/>
      <c r="DR59" s="26"/>
    </row>
    <row r="60" spans="1:122" ht="14.25" customHeight="1">
      <c r="A60" s="2">
        <v>5018</v>
      </c>
      <c r="B60" s="3" t="s">
        <v>197</v>
      </c>
      <c r="C60" s="3" t="s">
        <v>203</v>
      </c>
      <c r="D60" s="4">
        <v>58</v>
      </c>
      <c r="E60" s="3" t="s">
        <v>12</v>
      </c>
      <c r="F60" s="3" t="s">
        <v>336</v>
      </c>
      <c r="G60" s="4" t="s">
        <v>337</v>
      </c>
      <c r="H60" s="4" t="b">
        <v>1</v>
      </c>
      <c r="I60" s="4" t="b">
        <v>1</v>
      </c>
      <c r="J60" s="5" t="s">
        <v>337</v>
      </c>
      <c r="K60" s="5" t="s">
        <v>203</v>
      </c>
      <c r="L60" s="5" t="s">
        <v>12</v>
      </c>
      <c r="M60" s="5" t="s">
        <v>336</v>
      </c>
      <c r="N60" s="2" t="s">
        <v>15</v>
      </c>
      <c r="O60" s="2" t="s">
        <v>401</v>
      </c>
      <c r="P60" s="2">
        <v>70556</v>
      </c>
      <c r="Q60" s="2" t="s">
        <v>402</v>
      </c>
      <c r="R60" s="2">
        <v>85</v>
      </c>
      <c r="S60" s="2">
        <v>53</v>
      </c>
      <c r="T60" s="2">
        <v>53</v>
      </c>
      <c r="U60" s="2">
        <v>1</v>
      </c>
      <c r="V60" s="2">
        <v>52</v>
      </c>
      <c r="W60" s="2">
        <v>28</v>
      </c>
      <c r="X60" s="2">
        <v>12</v>
      </c>
      <c r="Y60" s="2">
        <v>0</v>
      </c>
      <c r="Z60" s="2">
        <v>2</v>
      </c>
      <c r="AA60" s="2">
        <v>3</v>
      </c>
      <c r="AB60" s="2">
        <v>1</v>
      </c>
      <c r="AC60" s="2">
        <v>2</v>
      </c>
      <c r="AD60" s="2">
        <v>0</v>
      </c>
      <c r="AE60" s="2">
        <v>0</v>
      </c>
      <c r="AF60" s="2">
        <v>0</v>
      </c>
      <c r="AG60" s="2">
        <v>2</v>
      </c>
      <c r="AH60" s="2">
        <v>1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1</v>
      </c>
      <c r="AP60" s="2">
        <v>85</v>
      </c>
      <c r="AQ60" s="2">
        <v>53</v>
      </c>
      <c r="AR60" s="2">
        <v>53</v>
      </c>
      <c r="AS60" s="2">
        <v>1</v>
      </c>
      <c r="AT60" s="2">
        <v>52</v>
      </c>
      <c r="AU60" s="2">
        <v>1</v>
      </c>
      <c r="AV60" s="2">
        <v>1</v>
      </c>
      <c r="AW60" s="2">
        <v>0</v>
      </c>
      <c r="AX60" s="2">
        <v>2</v>
      </c>
      <c r="AY60" s="2">
        <v>3</v>
      </c>
      <c r="AZ60" s="2">
        <v>41</v>
      </c>
      <c r="BA60" s="2">
        <v>2</v>
      </c>
      <c r="BB60" s="2">
        <v>2</v>
      </c>
      <c r="BC60" s="11" t="s">
        <v>15</v>
      </c>
      <c r="BD60" s="11" t="s">
        <v>425</v>
      </c>
      <c r="BE60" s="11">
        <v>70556</v>
      </c>
      <c r="BF60" s="11" t="s">
        <v>402</v>
      </c>
      <c r="BG60" s="11">
        <v>58</v>
      </c>
      <c r="BH60" s="11">
        <v>79</v>
      </c>
      <c r="BI60" s="11">
        <v>48</v>
      </c>
      <c r="BJ60" s="11">
        <v>48</v>
      </c>
      <c r="BK60" s="11">
        <v>1</v>
      </c>
      <c r="BL60" s="11">
        <v>47</v>
      </c>
      <c r="BM60" s="11">
        <v>34</v>
      </c>
      <c r="BN60" s="11">
        <v>1</v>
      </c>
      <c r="BO60" s="11">
        <v>2</v>
      </c>
      <c r="BP60" s="11">
        <v>1</v>
      </c>
      <c r="BQ60" s="11">
        <v>0</v>
      </c>
      <c r="BR60" s="11">
        <v>0</v>
      </c>
      <c r="BS60" s="11">
        <v>6</v>
      </c>
      <c r="BT60" s="11">
        <v>0</v>
      </c>
      <c r="BU60" s="11">
        <v>0</v>
      </c>
      <c r="BV60" s="11">
        <v>0</v>
      </c>
      <c r="BW60" s="11">
        <v>1</v>
      </c>
      <c r="BX60" s="11">
        <v>0</v>
      </c>
      <c r="BY60" s="11">
        <v>0</v>
      </c>
      <c r="BZ60" s="11">
        <v>2</v>
      </c>
      <c r="CA60" s="11">
        <v>0</v>
      </c>
      <c r="CB60" s="11">
        <v>0</v>
      </c>
      <c r="CC60" s="11">
        <v>0</v>
      </c>
      <c r="CD60" s="11">
        <v>0</v>
      </c>
      <c r="CE60">
        <v>37</v>
      </c>
      <c r="CF60">
        <v>2</v>
      </c>
      <c r="CG60">
        <v>6</v>
      </c>
      <c r="CH60">
        <v>2</v>
      </c>
      <c r="CI60">
        <v>0</v>
      </c>
      <c r="CJ60" s="14">
        <v>0.60759493670886078</v>
      </c>
      <c r="CK60" s="14">
        <v>0.77083333333333337</v>
      </c>
      <c r="CL60" s="14">
        <v>4.1666666666666664E-2</v>
      </c>
      <c r="CM60" s="14">
        <v>0.125</v>
      </c>
      <c r="CN60" s="14">
        <v>4.1666666666666664E-2</v>
      </c>
      <c r="CO60" s="14">
        <v>0</v>
      </c>
      <c r="CP60" s="30">
        <v>8</v>
      </c>
      <c r="CQ60" s="15">
        <v>42</v>
      </c>
      <c r="CR60">
        <v>5</v>
      </c>
      <c r="CS60">
        <v>4</v>
      </c>
      <c r="CU60">
        <v>1</v>
      </c>
      <c r="CV60" s="14">
        <v>0.62352941176470589</v>
      </c>
      <c r="CW60" s="14">
        <v>0.79245283018867929</v>
      </c>
      <c r="CX60" s="14">
        <v>9.4339622641509441E-2</v>
      </c>
      <c r="CY60" s="14">
        <v>7.5471698113207544E-2</v>
      </c>
      <c r="CZ60" s="14">
        <v>0</v>
      </c>
      <c r="DA60" s="14">
        <v>1.8867924528301886E-2</v>
      </c>
      <c r="DB60" s="30">
        <v>8</v>
      </c>
      <c r="DC60" s="14" t="s">
        <v>488</v>
      </c>
      <c r="DD60" s="17" t="s">
        <v>439</v>
      </c>
      <c r="DE60" s="17" t="s">
        <v>439</v>
      </c>
      <c r="DF60" s="17" t="s">
        <v>442</v>
      </c>
      <c r="DG60" s="21">
        <v>21.759999999999998</v>
      </c>
      <c r="DH60" s="16">
        <v>79</v>
      </c>
      <c r="DI60" s="16">
        <v>0</v>
      </c>
      <c r="DJ60" s="16">
        <v>48</v>
      </c>
      <c r="DK60" s="23">
        <v>0.60759493670886078</v>
      </c>
      <c r="DL60" s="16">
        <v>0</v>
      </c>
      <c r="DM60">
        <v>0</v>
      </c>
      <c r="DN60" s="25"/>
      <c r="DO60" s="25"/>
      <c r="DP60" s="25"/>
      <c r="DQ60" s="26"/>
      <c r="DR60" s="26"/>
    </row>
    <row r="61" spans="1:122" ht="14.25" customHeight="1">
      <c r="A61" s="2">
        <v>5019</v>
      </c>
      <c r="B61" s="3" t="s">
        <v>197</v>
      </c>
      <c r="C61" s="3" t="s">
        <v>203</v>
      </c>
      <c r="D61" s="4">
        <v>59</v>
      </c>
      <c r="E61" s="3" t="s">
        <v>12</v>
      </c>
      <c r="F61" s="3" t="s">
        <v>338</v>
      </c>
      <c r="G61" s="4" t="s">
        <v>339</v>
      </c>
      <c r="H61" s="4" t="b">
        <v>1</v>
      </c>
      <c r="I61" s="4" t="b">
        <v>1</v>
      </c>
      <c r="J61" s="5" t="s">
        <v>339</v>
      </c>
      <c r="K61" s="5" t="s">
        <v>203</v>
      </c>
      <c r="L61" s="5" t="s">
        <v>12</v>
      </c>
      <c r="M61" s="5" t="s">
        <v>338</v>
      </c>
      <c r="N61" s="2" t="s">
        <v>15</v>
      </c>
      <c r="O61" s="2" t="s">
        <v>401</v>
      </c>
      <c r="P61" s="2">
        <v>70556</v>
      </c>
      <c r="Q61" s="2" t="s">
        <v>402</v>
      </c>
      <c r="R61" s="2">
        <v>202</v>
      </c>
      <c r="S61" s="2">
        <v>115</v>
      </c>
      <c r="T61" s="2">
        <v>115</v>
      </c>
      <c r="U61" s="2">
        <v>9</v>
      </c>
      <c r="V61" s="2">
        <v>106</v>
      </c>
      <c r="W61" s="2">
        <v>55</v>
      </c>
      <c r="X61" s="2">
        <v>23</v>
      </c>
      <c r="Y61" s="2">
        <v>0</v>
      </c>
      <c r="Z61" s="2">
        <v>2</v>
      </c>
      <c r="AA61" s="2">
        <v>7</v>
      </c>
      <c r="AB61" s="2">
        <v>4</v>
      </c>
      <c r="AC61" s="2">
        <v>3</v>
      </c>
      <c r="AD61" s="2">
        <v>0</v>
      </c>
      <c r="AE61" s="2">
        <v>3</v>
      </c>
      <c r="AF61" s="2">
        <v>0</v>
      </c>
      <c r="AG61" s="2">
        <v>4</v>
      </c>
      <c r="AH61" s="2">
        <v>0</v>
      </c>
      <c r="AI61" s="2">
        <v>0</v>
      </c>
      <c r="AJ61" s="2">
        <v>3</v>
      </c>
      <c r="AK61" s="2">
        <v>1</v>
      </c>
      <c r="AL61" s="2">
        <v>0</v>
      </c>
      <c r="AM61" s="2">
        <v>1</v>
      </c>
      <c r="AN61" s="2">
        <v>0</v>
      </c>
      <c r="AO61" s="2">
        <v>0</v>
      </c>
      <c r="AP61" s="2">
        <v>202</v>
      </c>
      <c r="AQ61" s="2">
        <v>115</v>
      </c>
      <c r="AR61" s="2">
        <v>115</v>
      </c>
      <c r="AS61" s="2">
        <v>5</v>
      </c>
      <c r="AT61" s="2">
        <v>110</v>
      </c>
      <c r="AU61" s="2">
        <v>0</v>
      </c>
      <c r="AV61" s="2">
        <v>2</v>
      </c>
      <c r="AW61" s="2">
        <v>1</v>
      </c>
      <c r="AX61" s="2">
        <v>8</v>
      </c>
      <c r="AY61" s="2">
        <v>9</v>
      </c>
      <c r="AZ61" s="2">
        <v>82</v>
      </c>
      <c r="BA61" s="2">
        <v>2</v>
      </c>
      <c r="BB61" s="2">
        <v>6</v>
      </c>
      <c r="BC61" s="11" t="s">
        <v>15</v>
      </c>
      <c r="BD61" s="11" t="s">
        <v>425</v>
      </c>
      <c r="BE61" s="11">
        <v>70556</v>
      </c>
      <c r="BF61" s="11" t="s">
        <v>402</v>
      </c>
      <c r="BG61" s="11">
        <v>59</v>
      </c>
      <c r="BH61" s="11">
        <v>195</v>
      </c>
      <c r="BI61" s="11">
        <v>96</v>
      </c>
      <c r="BJ61" s="11">
        <v>96</v>
      </c>
      <c r="BK61" s="11">
        <v>2</v>
      </c>
      <c r="BL61" s="11">
        <v>94</v>
      </c>
      <c r="BM61" s="11">
        <v>50</v>
      </c>
      <c r="BN61" s="11">
        <v>15</v>
      </c>
      <c r="BO61" s="11">
        <v>1</v>
      </c>
      <c r="BP61" s="11">
        <v>4</v>
      </c>
      <c r="BQ61" s="11">
        <v>1</v>
      </c>
      <c r="BR61" s="11">
        <v>0</v>
      </c>
      <c r="BS61" s="11">
        <v>15</v>
      </c>
      <c r="BT61" s="11">
        <v>0</v>
      </c>
      <c r="BU61" s="11">
        <v>0</v>
      </c>
      <c r="BV61" s="11">
        <v>4</v>
      </c>
      <c r="BW61" s="11">
        <v>0</v>
      </c>
      <c r="BX61" s="11">
        <v>3</v>
      </c>
      <c r="BY61" s="11">
        <v>0</v>
      </c>
      <c r="BZ61" s="11">
        <v>1</v>
      </c>
      <c r="CA61" s="11">
        <v>0</v>
      </c>
      <c r="CB61" s="11">
        <v>0</v>
      </c>
      <c r="CC61" s="11">
        <v>0</v>
      </c>
      <c r="CD61" s="11">
        <v>0</v>
      </c>
      <c r="CE61">
        <v>66</v>
      </c>
      <c r="CF61">
        <v>5</v>
      </c>
      <c r="CG61">
        <v>18</v>
      </c>
      <c r="CH61">
        <v>1</v>
      </c>
      <c r="CI61">
        <v>4</v>
      </c>
      <c r="CJ61" s="14">
        <v>0.49230769230769234</v>
      </c>
      <c r="CK61" s="14">
        <v>0.6875</v>
      </c>
      <c r="CL61" s="14">
        <v>5.2083333333333336E-2</v>
      </c>
      <c r="CM61" s="14">
        <v>0.1875</v>
      </c>
      <c r="CN61" s="14">
        <v>1.0416666666666666E-2</v>
      </c>
      <c r="CO61" s="14">
        <v>4.1666666666666664E-2</v>
      </c>
      <c r="CP61" s="30">
        <v>6</v>
      </c>
      <c r="CQ61" s="15">
        <v>80</v>
      </c>
      <c r="CR61">
        <v>11</v>
      </c>
      <c r="CS61">
        <v>14</v>
      </c>
      <c r="CU61">
        <v>1</v>
      </c>
      <c r="CV61" s="14">
        <v>0.56930693069306926</v>
      </c>
      <c r="CW61" s="14">
        <v>0.69565217391304346</v>
      </c>
      <c r="CX61" s="14">
        <v>9.5652173913043481E-2</v>
      </c>
      <c r="CY61" s="14">
        <v>0.12173913043478261</v>
      </c>
      <c r="CZ61" s="14">
        <v>0</v>
      </c>
      <c r="DA61" s="14">
        <v>8.6956521739130436E-3</v>
      </c>
      <c r="DB61" s="30">
        <v>8</v>
      </c>
      <c r="DC61" s="14" t="s">
        <v>478</v>
      </c>
      <c r="DD61" s="17" t="s">
        <v>438</v>
      </c>
      <c r="DE61" s="17" t="s">
        <v>439</v>
      </c>
      <c r="DF61" s="17" t="s">
        <v>452</v>
      </c>
      <c r="DG61" s="21">
        <v>63.63</v>
      </c>
      <c r="DH61" s="16">
        <v>195</v>
      </c>
      <c r="DI61" s="16">
        <v>0</v>
      </c>
      <c r="DJ61" s="16">
        <v>96</v>
      </c>
      <c r="DK61" s="23">
        <v>0.49230769230769234</v>
      </c>
      <c r="DL61" s="16">
        <v>1</v>
      </c>
      <c r="DM61">
        <v>6</v>
      </c>
      <c r="DN61" s="25"/>
      <c r="DO61" s="25"/>
      <c r="DP61" s="25"/>
      <c r="DQ61" s="26"/>
      <c r="DR61" s="26"/>
    </row>
    <row r="62" spans="1:122" ht="14.25" customHeight="1">
      <c r="A62" s="2">
        <v>5020</v>
      </c>
      <c r="B62" s="3" t="s">
        <v>197</v>
      </c>
      <c r="C62" s="3" t="s">
        <v>203</v>
      </c>
      <c r="D62" s="4">
        <v>60</v>
      </c>
      <c r="E62" s="3" t="s">
        <v>14</v>
      </c>
      <c r="F62" s="3" t="s">
        <v>340</v>
      </c>
      <c r="G62" s="4" t="s">
        <v>341</v>
      </c>
      <c r="H62" s="4" t="b">
        <v>1</v>
      </c>
      <c r="I62" s="4" t="b">
        <v>1</v>
      </c>
      <c r="J62" s="5" t="s">
        <v>341</v>
      </c>
      <c r="K62" s="5" t="s">
        <v>203</v>
      </c>
      <c r="L62" s="5" t="s">
        <v>14</v>
      </c>
      <c r="M62" s="5" t="s">
        <v>340</v>
      </c>
      <c r="N62" s="2" t="s">
        <v>15</v>
      </c>
      <c r="O62" s="2" t="s">
        <v>401</v>
      </c>
      <c r="P62" s="2">
        <v>70556</v>
      </c>
      <c r="Q62" s="2" t="s">
        <v>402</v>
      </c>
      <c r="R62" s="2">
        <v>464</v>
      </c>
      <c r="S62" s="2">
        <v>258</v>
      </c>
      <c r="T62" s="2">
        <v>258</v>
      </c>
      <c r="U62" s="2">
        <v>6</v>
      </c>
      <c r="V62" s="2">
        <v>252</v>
      </c>
      <c r="W62" s="2">
        <v>143</v>
      </c>
      <c r="X62" s="2">
        <v>41</v>
      </c>
      <c r="Y62" s="2">
        <v>0</v>
      </c>
      <c r="Z62" s="2">
        <v>10</v>
      </c>
      <c r="AA62" s="2">
        <v>14</v>
      </c>
      <c r="AB62" s="2">
        <v>16</v>
      </c>
      <c r="AC62" s="2">
        <v>7</v>
      </c>
      <c r="AD62" s="2">
        <v>3</v>
      </c>
      <c r="AE62" s="2">
        <v>2</v>
      </c>
      <c r="AF62" s="2">
        <v>1</v>
      </c>
      <c r="AG62" s="2">
        <v>8</v>
      </c>
      <c r="AH62" s="2">
        <v>1</v>
      </c>
      <c r="AI62" s="2">
        <v>0</v>
      </c>
      <c r="AJ62" s="2">
        <v>3</v>
      </c>
      <c r="AK62" s="2">
        <v>1</v>
      </c>
      <c r="AL62" s="2">
        <v>0</v>
      </c>
      <c r="AM62" s="2">
        <v>0</v>
      </c>
      <c r="AN62" s="2">
        <v>1</v>
      </c>
      <c r="AO62" s="2">
        <v>1</v>
      </c>
      <c r="AP62" s="2">
        <v>464</v>
      </c>
      <c r="AQ62" s="2">
        <v>258</v>
      </c>
      <c r="AR62" s="2">
        <v>258</v>
      </c>
      <c r="AS62" s="2">
        <v>8</v>
      </c>
      <c r="AT62" s="2">
        <v>250</v>
      </c>
      <c r="AU62" s="2">
        <v>1</v>
      </c>
      <c r="AV62" s="2">
        <v>5</v>
      </c>
      <c r="AW62" s="2">
        <v>0</v>
      </c>
      <c r="AX62" s="2">
        <v>14</v>
      </c>
      <c r="AY62" s="2">
        <v>11</v>
      </c>
      <c r="AZ62" s="2">
        <v>192</v>
      </c>
      <c r="BA62" s="2">
        <v>19</v>
      </c>
      <c r="BB62" s="2">
        <v>8</v>
      </c>
      <c r="BC62" s="11" t="s">
        <v>15</v>
      </c>
      <c r="BD62" s="11" t="s">
        <v>425</v>
      </c>
      <c r="BE62" s="11">
        <v>70556</v>
      </c>
      <c r="BF62" s="11" t="s">
        <v>402</v>
      </c>
      <c r="BG62" s="11">
        <v>60</v>
      </c>
      <c r="BH62" s="11">
        <v>435</v>
      </c>
      <c r="BI62" s="11">
        <v>250</v>
      </c>
      <c r="BJ62" s="11">
        <v>250</v>
      </c>
      <c r="BK62" s="11">
        <v>9</v>
      </c>
      <c r="BL62" s="11">
        <v>241</v>
      </c>
      <c r="BM62" s="11">
        <v>143</v>
      </c>
      <c r="BN62" s="11">
        <v>22</v>
      </c>
      <c r="BO62" s="11">
        <v>5</v>
      </c>
      <c r="BP62" s="11">
        <v>11</v>
      </c>
      <c r="BQ62" s="11">
        <v>8</v>
      </c>
      <c r="BR62" s="11">
        <v>0</v>
      </c>
      <c r="BS62" s="11">
        <v>36</v>
      </c>
      <c r="BT62" s="11">
        <v>0</v>
      </c>
      <c r="BU62" s="11">
        <v>0</v>
      </c>
      <c r="BV62" s="11">
        <v>0</v>
      </c>
      <c r="BW62" s="11">
        <v>2</v>
      </c>
      <c r="BX62" s="11">
        <v>1</v>
      </c>
      <c r="BY62" s="11">
        <v>0</v>
      </c>
      <c r="BZ62" s="11">
        <v>10</v>
      </c>
      <c r="CA62" s="11">
        <v>0</v>
      </c>
      <c r="CB62" s="11">
        <v>3</v>
      </c>
      <c r="CC62" s="11">
        <v>0</v>
      </c>
      <c r="CD62" s="11">
        <v>0</v>
      </c>
      <c r="CE62">
        <v>170</v>
      </c>
      <c r="CF62">
        <v>21</v>
      </c>
      <c r="CG62">
        <v>37</v>
      </c>
      <c r="CH62">
        <v>10</v>
      </c>
      <c r="CI62">
        <v>3</v>
      </c>
      <c r="CJ62" s="14">
        <v>0.57471264367816088</v>
      </c>
      <c r="CK62" s="14">
        <v>0.68</v>
      </c>
      <c r="CL62" s="14">
        <v>8.4000000000000005E-2</v>
      </c>
      <c r="CM62" s="14">
        <v>0.14799999999999999</v>
      </c>
      <c r="CN62" s="14">
        <v>0.04</v>
      </c>
      <c r="CO62" s="14">
        <v>1.2E-2</v>
      </c>
      <c r="CP62" s="30">
        <v>8</v>
      </c>
      <c r="CQ62" s="15">
        <v>194</v>
      </c>
      <c r="CR62">
        <v>32</v>
      </c>
      <c r="CS62">
        <v>20</v>
      </c>
      <c r="CU62">
        <v>6</v>
      </c>
      <c r="CV62" s="14">
        <v>0.55603448275862066</v>
      </c>
      <c r="CW62" s="14">
        <v>0.75193798449612403</v>
      </c>
      <c r="CX62" s="14">
        <v>0.12403100775193798</v>
      </c>
      <c r="CY62" s="14">
        <v>7.7519379844961239E-2</v>
      </c>
      <c r="CZ62" s="14">
        <v>0</v>
      </c>
      <c r="DA62" s="14">
        <v>2.3255813953488372E-2</v>
      </c>
      <c r="DB62" s="30">
        <v>8</v>
      </c>
      <c r="DC62" s="14" t="s">
        <v>488</v>
      </c>
      <c r="DD62" s="17" t="s">
        <v>439</v>
      </c>
      <c r="DE62" s="17" t="s">
        <v>439</v>
      </c>
      <c r="DF62" s="17" t="s">
        <v>442</v>
      </c>
      <c r="DG62" s="21">
        <v>135.36000000000001</v>
      </c>
      <c r="DH62" s="16">
        <v>435</v>
      </c>
      <c r="DI62" s="16">
        <v>0</v>
      </c>
      <c r="DJ62" s="16">
        <v>250</v>
      </c>
      <c r="DK62" s="23">
        <v>0.57471264367816088</v>
      </c>
      <c r="DL62" s="16">
        <v>0</v>
      </c>
      <c r="DM62">
        <v>0</v>
      </c>
      <c r="DN62" s="25"/>
      <c r="DO62" s="25"/>
      <c r="DP62" s="25"/>
      <c r="DQ62" s="26"/>
      <c r="DR62" s="26"/>
    </row>
    <row r="63" spans="1:122" ht="14.25" customHeight="1">
      <c r="A63" s="2">
        <v>5021</v>
      </c>
      <c r="B63" s="3" t="s">
        <v>197</v>
      </c>
      <c r="C63" s="3" t="s">
        <v>203</v>
      </c>
      <c r="D63" s="4">
        <v>61</v>
      </c>
      <c r="E63" s="3" t="s">
        <v>12</v>
      </c>
      <c r="F63" s="3" t="s">
        <v>342</v>
      </c>
      <c r="G63" s="4" t="s">
        <v>343</v>
      </c>
      <c r="H63" s="4" t="b">
        <v>1</v>
      </c>
      <c r="I63" s="4" t="b">
        <v>1</v>
      </c>
      <c r="J63" s="5" t="s">
        <v>343</v>
      </c>
      <c r="K63" s="5" t="s">
        <v>203</v>
      </c>
      <c r="L63" s="5" t="s">
        <v>12</v>
      </c>
      <c r="M63" s="5" t="s">
        <v>342</v>
      </c>
      <c r="N63" s="2" t="s">
        <v>15</v>
      </c>
      <c r="O63" s="2" t="s">
        <v>401</v>
      </c>
      <c r="P63" s="2">
        <v>70556</v>
      </c>
      <c r="Q63" s="2" t="s">
        <v>402</v>
      </c>
      <c r="R63" s="2">
        <v>683</v>
      </c>
      <c r="S63" s="2">
        <v>301</v>
      </c>
      <c r="T63" s="2">
        <v>301</v>
      </c>
      <c r="U63" s="2">
        <v>6</v>
      </c>
      <c r="V63" s="2">
        <v>295</v>
      </c>
      <c r="W63" s="2">
        <v>177</v>
      </c>
      <c r="X63" s="2">
        <v>44</v>
      </c>
      <c r="Y63" s="2">
        <v>0</v>
      </c>
      <c r="Z63" s="2">
        <v>9</v>
      </c>
      <c r="AA63" s="2">
        <v>10</v>
      </c>
      <c r="AB63" s="2">
        <v>5</v>
      </c>
      <c r="AC63" s="2">
        <v>14</v>
      </c>
      <c r="AD63" s="2">
        <v>0</v>
      </c>
      <c r="AE63" s="2">
        <v>5</v>
      </c>
      <c r="AF63" s="2">
        <v>5</v>
      </c>
      <c r="AG63" s="2">
        <v>20</v>
      </c>
      <c r="AH63" s="2">
        <v>1</v>
      </c>
      <c r="AI63" s="2">
        <v>0</v>
      </c>
      <c r="AJ63" s="2">
        <v>2</v>
      </c>
      <c r="AK63" s="2">
        <v>0</v>
      </c>
      <c r="AL63" s="2">
        <v>0</v>
      </c>
      <c r="AM63" s="2">
        <v>1</v>
      </c>
      <c r="AN63" s="2">
        <v>0</v>
      </c>
      <c r="AO63" s="2">
        <v>2</v>
      </c>
      <c r="AP63" s="2">
        <v>683</v>
      </c>
      <c r="AQ63" s="2">
        <v>301</v>
      </c>
      <c r="AR63" s="2">
        <v>301</v>
      </c>
      <c r="AS63" s="2">
        <v>4</v>
      </c>
      <c r="AT63" s="2">
        <v>297</v>
      </c>
      <c r="AU63" s="2">
        <v>0</v>
      </c>
      <c r="AV63" s="2">
        <v>5</v>
      </c>
      <c r="AW63" s="2">
        <v>4</v>
      </c>
      <c r="AX63" s="2">
        <v>16</v>
      </c>
      <c r="AY63" s="2">
        <v>21</v>
      </c>
      <c r="AZ63" s="2">
        <v>222</v>
      </c>
      <c r="BA63" s="2">
        <v>5</v>
      </c>
      <c r="BB63" s="2">
        <v>24</v>
      </c>
      <c r="BC63" s="11" t="s">
        <v>15</v>
      </c>
      <c r="BD63" s="11" t="s">
        <v>425</v>
      </c>
      <c r="BE63" s="11">
        <v>70556</v>
      </c>
      <c r="BF63" s="11" t="s">
        <v>402</v>
      </c>
      <c r="BG63" s="11">
        <v>61</v>
      </c>
      <c r="BH63" s="11">
        <v>657</v>
      </c>
      <c r="BI63" s="11">
        <v>287</v>
      </c>
      <c r="BJ63" s="11">
        <v>287</v>
      </c>
      <c r="BK63" s="11">
        <v>6</v>
      </c>
      <c r="BL63" s="11">
        <v>281</v>
      </c>
      <c r="BM63" s="11">
        <v>167</v>
      </c>
      <c r="BN63" s="11">
        <v>43</v>
      </c>
      <c r="BO63" s="11">
        <v>4</v>
      </c>
      <c r="BP63" s="11">
        <v>19</v>
      </c>
      <c r="BQ63" s="11">
        <v>7</v>
      </c>
      <c r="BR63" s="11">
        <v>1</v>
      </c>
      <c r="BS63" s="11">
        <v>23</v>
      </c>
      <c r="BT63" s="11">
        <v>0</v>
      </c>
      <c r="BU63" s="11">
        <v>0</v>
      </c>
      <c r="BV63" s="11">
        <v>2</v>
      </c>
      <c r="BW63" s="11">
        <v>2</v>
      </c>
      <c r="BX63" s="11">
        <v>3</v>
      </c>
      <c r="BY63" s="11">
        <v>0</v>
      </c>
      <c r="BZ63" s="11">
        <v>9</v>
      </c>
      <c r="CA63" s="11">
        <v>0</v>
      </c>
      <c r="CB63" s="11">
        <v>1</v>
      </c>
      <c r="CC63" s="11">
        <v>0</v>
      </c>
      <c r="CD63" s="11">
        <v>0</v>
      </c>
      <c r="CE63">
        <v>214</v>
      </c>
      <c r="CF63">
        <v>28</v>
      </c>
      <c r="CG63">
        <v>26</v>
      </c>
      <c r="CH63">
        <v>9</v>
      </c>
      <c r="CI63">
        <v>4</v>
      </c>
      <c r="CJ63" s="14">
        <v>0.43683409436834092</v>
      </c>
      <c r="CK63" s="14">
        <v>0.74564459930313587</v>
      </c>
      <c r="CL63" s="14">
        <v>9.7560975609756101E-2</v>
      </c>
      <c r="CM63" s="14">
        <v>9.0592334494773524E-2</v>
      </c>
      <c r="CN63" s="14">
        <v>3.1358885017421602E-2</v>
      </c>
      <c r="CO63" s="14">
        <v>1.3937282229965157E-2</v>
      </c>
      <c r="CP63" s="30">
        <v>5</v>
      </c>
      <c r="CQ63" s="15">
        <v>230</v>
      </c>
      <c r="CR63">
        <v>44</v>
      </c>
      <c r="CS63">
        <v>19</v>
      </c>
      <c r="CU63">
        <v>2</v>
      </c>
      <c r="CV63" s="14">
        <v>0.44070278184480233</v>
      </c>
      <c r="CW63" s="14">
        <v>0.76411960132890366</v>
      </c>
      <c r="CX63" s="14">
        <v>0.1461794019933555</v>
      </c>
      <c r="CY63" s="14">
        <v>6.3122923588039864E-2</v>
      </c>
      <c r="CZ63" s="14">
        <v>0</v>
      </c>
      <c r="DA63" s="14">
        <v>6.6445182724252493E-3</v>
      </c>
      <c r="DB63" s="30">
        <v>5</v>
      </c>
      <c r="DC63" s="14" t="s">
        <v>474</v>
      </c>
      <c r="DD63" s="17" t="s">
        <v>437</v>
      </c>
      <c r="DE63" s="17" t="s">
        <v>437</v>
      </c>
      <c r="DF63" s="17" t="s">
        <v>453</v>
      </c>
      <c r="DG63" s="21">
        <v>206.75</v>
      </c>
      <c r="DH63" s="16">
        <v>657</v>
      </c>
      <c r="DI63" s="16">
        <v>0</v>
      </c>
      <c r="DJ63" s="16">
        <v>287</v>
      </c>
      <c r="DK63" s="23">
        <v>0.43683409436834092</v>
      </c>
      <c r="DL63" s="16">
        <v>1</v>
      </c>
      <c r="DM63">
        <v>5</v>
      </c>
      <c r="DN63" s="25"/>
      <c r="DO63" s="25"/>
      <c r="DP63" s="25"/>
      <c r="DQ63" s="26"/>
      <c r="DR63" s="26"/>
    </row>
    <row r="64" spans="1:122" ht="14.25" customHeight="1">
      <c r="A64" s="2">
        <v>5022</v>
      </c>
      <c r="B64" s="3" t="s">
        <v>197</v>
      </c>
      <c r="C64" s="3" t="s">
        <v>203</v>
      </c>
      <c r="D64" s="4">
        <v>62</v>
      </c>
      <c r="E64" s="3" t="s">
        <v>18</v>
      </c>
      <c r="F64" s="3" t="s">
        <v>34</v>
      </c>
      <c r="G64" s="4" t="s">
        <v>344</v>
      </c>
      <c r="H64" s="4" t="b">
        <v>1</v>
      </c>
      <c r="I64" s="4" t="b">
        <v>1</v>
      </c>
      <c r="J64" s="5" t="s">
        <v>344</v>
      </c>
      <c r="K64" s="5" t="s">
        <v>203</v>
      </c>
      <c r="L64" s="5" t="s">
        <v>18</v>
      </c>
      <c r="M64" s="5" t="s">
        <v>34</v>
      </c>
      <c r="N64" s="2" t="s">
        <v>15</v>
      </c>
      <c r="O64" s="2" t="s">
        <v>401</v>
      </c>
      <c r="P64" s="2">
        <v>70556</v>
      </c>
      <c r="Q64" s="2" t="s">
        <v>402</v>
      </c>
      <c r="R64" s="2">
        <v>127</v>
      </c>
      <c r="S64" s="2">
        <v>74</v>
      </c>
      <c r="T64" s="2">
        <v>74</v>
      </c>
      <c r="U64" s="2">
        <v>4</v>
      </c>
      <c r="V64" s="2">
        <v>70</v>
      </c>
      <c r="W64" s="2">
        <v>37</v>
      </c>
      <c r="X64" s="2">
        <v>7</v>
      </c>
      <c r="Y64" s="2">
        <v>0</v>
      </c>
      <c r="Z64" s="2">
        <v>1</v>
      </c>
      <c r="AA64" s="2">
        <v>3</v>
      </c>
      <c r="AB64" s="2">
        <v>10</v>
      </c>
      <c r="AC64" s="2">
        <v>1</v>
      </c>
      <c r="AD64" s="2">
        <v>0</v>
      </c>
      <c r="AE64" s="2">
        <v>2</v>
      </c>
      <c r="AF64" s="2">
        <v>0</v>
      </c>
      <c r="AG64" s="2">
        <v>8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1</v>
      </c>
      <c r="AN64" s="2">
        <v>0</v>
      </c>
      <c r="AO64" s="2">
        <v>0</v>
      </c>
      <c r="AP64" s="2">
        <v>127</v>
      </c>
      <c r="AQ64" s="2">
        <v>74</v>
      </c>
      <c r="AR64" s="2">
        <v>74</v>
      </c>
      <c r="AS64" s="2">
        <v>2</v>
      </c>
      <c r="AT64" s="2">
        <v>72</v>
      </c>
      <c r="AU64" s="2">
        <v>2</v>
      </c>
      <c r="AV64" s="2">
        <v>3</v>
      </c>
      <c r="AW64" s="2">
        <v>1</v>
      </c>
      <c r="AX64" s="2">
        <v>7</v>
      </c>
      <c r="AY64" s="2">
        <v>2</v>
      </c>
      <c r="AZ64" s="2">
        <v>49</v>
      </c>
      <c r="BA64" s="2">
        <v>6</v>
      </c>
      <c r="BB64" s="2">
        <v>2</v>
      </c>
      <c r="BC64" s="11" t="s">
        <v>15</v>
      </c>
      <c r="BD64" s="11" t="s">
        <v>425</v>
      </c>
      <c r="BE64" s="11">
        <v>70556</v>
      </c>
      <c r="BF64" s="11" t="s">
        <v>402</v>
      </c>
      <c r="BG64" s="11">
        <v>62</v>
      </c>
      <c r="BH64" s="11">
        <v>121</v>
      </c>
      <c r="BI64" s="11">
        <v>58</v>
      </c>
      <c r="BJ64" s="11">
        <v>58</v>
      </c>
      <c r="BK64" s="11">
        <v>1</v>
      </c>
      <c r="BL64" s="11">
        <v>57</v>
      </c>
      <c r="BM64" s="11">
        <v>37</v>
      </c>
      <c r="BN64" s="11">
        <v>4</v>
      </c>
      <c r="BO64" s="11">
        <v>0</v>
      </c>
      <c r="BP64" s="11">
        <v>2</v>
      </c>
      <c r="BQ64" s="11">
        <v>2</v>
      </c>
      <c r="BR64" s="11">
        <v>0</v>
      </c>
      <c r="BS64" s="11">
        <v>7</v>
      </c>
      <c r="BT64" s="11">
        <v>1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4</v>
      </c>
      <c r="CA64" s="11">
        <v>0</v>
      </c>
      <c r="CB64" s="11">
        <v>0</v>
      </c>
      <c r="CC64" s="11">
        <v>0</v>
      </c>
      <c r="CD64" s="11">
        <v>0</v>
      </c>
      <c r="CE64">
        <v>41</v>
      </c>
      <c r="CF64">
        <v>4</v>
      </c>
      <c r="CG64">
        <v>7</v>
      </c>
      <c r="CH64">
        <v>4</v>
      </c>
      <c r="CI64">
        <v>1</v>
      </c>
      <c r="CJ64" s="14">
        <v>0.47933884297520662</v>
      </c>
      <c r="CK64" s="14">
        <v>0.7068965517241379</v>
      </c>
      <c r="CL64" s="14">
        <v>6.8965517241379309E-2</v>
      </c>
      <c r="CM64" s="14">
        <v>0.1206896551724138</v>
      </c>
      <c r="CN64" s="14">
        <v>6.8965517241379309E-2</v>
      </c>
      <c r="CO64" s="14">
        <v>1.7241379310344827E-2</v>
      </c>
      <c r="CP64" s="30">
        <v>5</v>
      </c>
      <c r="CQ64" s="15">
        <v>45</v>
      </c>
      <c r="CR64">
        <v>19</v>
      </c>
      <c r="CS64">
        <v>6</v>
      </c>
      <c r="CU64">
        <v>0</v>
      </c>
      <c r="CV64" s="14">
        <v>0.58267716535433067</v>
      </c>
      <c r="CW64" s="14">
        <v>0.60810810810810811</v>
      </c>
      <c r="CX64" s="14">
        <v>0.25675675675675674</v>
      </c>
      <c r="CY64" s="14">
        <v>8.1081081081081086E-2</v>
      </c>
      <c r="CZ64" s="14">
        <v>0</v>
      </c>
      <c r="DA64" s="14">
        <v>0</v>
      </c>
      <c r="DB64" s="30">
        <v>3</v>
      </c>
      <c r="DC64" s="14" t="s">
        <v>473</v>
      </c>
      <c r="DD64" s="17" t="s">
        <v>437</v>
      </c>
      <c r="DE64" s="17" t="s">
        <v>435</v>
      </c>
      <c r="DF64" s="17" t="s">
        <v>457</v>
      </c>
      <c r="DG64" s="21">
        <v>38.46</v>
      </c>
      <c r="DH64" s="16">
        <v>121</v>
      </c>
      <c r="DI64" s="16">
        <v>0</v>
      </c>
      <c r="DJ64" s="16">
        <v>58</v>
      </c>
      <c r="DK64" s="23">
        <v>0.47933884297520662</v>
      </c>
      <c r="DL64" s="16">
        <v>1</v>
      </c>
      <c r="DM64">
        <v>5</v>
      </c>
      <c r="DN64" s="25"/>
      <c r="DO64" s="25"/>
      <c r="DP64" s="25"/>
      <c r="DQ64" s="26"/>
      <c r="DR64" s="26"/>
    </row>
    <row r="65" spans="1:122" ht="14.25" customHeight="1">
      <c r="A65" s="2">
        <v>5023</v>
      </c>
      <c r="B65" s="3" t="s">
        <v>197</v>
      </c>
      <c r="C65" s="3" t="s">
        <v>203</v>
      </c>
      <c r="D65" s="4">
        <v>63</v>
      </c>
      <c r="E65" s="3" t="s">
        <v>12</v>
      </c>
      <c r="F65" s="3" t="s">
        <v>345</v>
      </c>
      <c r="G65" s="4" t="s">
        <v>346</v>
      </c>
      <c r="H65" s="4" t="b">
        <v>1</v>
      </c>
      <c r="I65" s="4" t="b">
        <v>1</v>
      </c>
      <c r="J65" s="5" t="s">
        <v>346</v>
      </c>
      <c r="K65" s="5" t="s">
        <v>203</v>
      </c>
      <c r="L65" s="5" t="s">
        <v>12</v>
      </c>
      <c r="M65" s="5" t="s">
        <v>345</v>
      </c>
      <c r="N65" s="2" t="s">
        <v>15</v>
      </c>
      <c r="O65" s="2" t="s">
        <v>401</v>
      </c>
      <c r="P65" s="2">
        <v>70556</v>
      </c>
      <c r="Q65" s="2" t="s">
        <v>402</v>
      </c>
      <c r="R65" s="2">
        <v>455</v>
      </c>
      <c r="S65" s="2">
        <v>261</v>
      </c>
      <c r="T65" s="2">
        <v>261</v>
      </c>
      <c r="U65" s="2">
        <v>13</v>
      </c>
      <c r="V65" s="2">
        <v>248</v>
      </c>
      <c r="W65" s="2">
        <v>157</v>
      </c>
      <c r="X65" s="2">
        <v>34</v>
      </c>
      <c r="Y65" s="2">
        <v>1</v>
      </c>
      <c r="Z65" s="2">
        <v>8</v>
      </c>
      <c r="AA65" s="2">
        <v>14</v>
      </c>
      <c r="AB65" s="2">
        <v>8</v>
      </c>
      <c r="AC65" s="2">
        <v>9</v>
      </c>
      <c r="AD65" s="2">
        <v>1</v>
      </c>
      <c r="AE65" s="2">
        <v>1</v>
      </c>
      <c r="AF65" s="2">
        <v>0</v>
      </c>
      <c r="AG65" s="2">
        <v>7</v>
      </c>
      <c r="AH65" s="2">
        <v>0</v>
      </c>
      <c r="AI65" s="2">
        <v>1</v>
      </c>
      <c r="AJ65" s="2">
        <v>5</v>
      </c>
      <c r="AK65" s="2">
        <v>0</v>
      </c>
      <c r="AL65" s="2">
        <v>0</v>
      </c>
      <c r="AM65" s="2">
        <v>1</v>
      </c>
      <c r="AN65" s="2">
        <v>1</v>
      </c>
      <c r="AO65" s="2">
        <v>0</v>
      </c>
      <c r="AP65" s="2">
        <v>455</v>
      </c>
      <c r="AQ65" s="2">
        <v>261</v>
      </c>
      <c r="AR65" s="2">
        <v>261</v>
      </c>
      <c r="AS65" s="2">
        <v>6</v>
      </c>
      <c r="AT65" s="2">
        <v>255</v>
      </c>
      <c r="AU65" s="2">
        <v>6</v>
      </c>
      <c r="AV65" s="2">
        <v>6</v>
      </c>
      <c r="AW65" s="2">
        <v>1</v>
      </c>
      <c r="AX65" s="2">
        <v>17</v>
      </c>
      <c r="AY65" s="2">
        <v>10</v>
      </c>
      <c r="AZ65" s="2">
        <v>196</v>
      </c>
      <c r="BA65" s="2">
        <v>8</v>
      </c>
      <c r="BB65" s="2">
        <v>11</v>
      </c>
      <c r="BC65" s="11" t="s">
        <v>15</v>
      </c>
      <c r="BD65" s="11" t="s">
        <v>425</v>
      </c>
      <c r="BE65" s="11">
        <v>70556</v>
      </c>
      <c r="BF65" s="11" t="s">
        <v>402</v>
      </c>
      <c r="BG65" s="11">
        <v>63</v>
      </c>
      <c r="BH65" s="11">
        <v>456</v>
      </c>
      <c r="BI65" s="11">
        <v>258</v>
      </c>
      <c r="BJ65" s="11">
        <v>258</v>
      </c>
      <c r="BK65" s="11">
        <v>9</v>
      </c>
      <c r="BL65" s="11">
        <v>249</v>
      </c>
      <c r="BM65" s="11">
        <v>156</v>
      </c>
      <c r="BN65" s="11">
        <v>22</v>
      </c>
      <c r="BO65" s="11">
        <v>7</v>
      </c>
      <c r="BP65" s="11">
        <v>9</v>
      </c>
      <c r="BQ65" s="11">
        <v>2</v>
      </c>
      <c r="BR65" s="11">
        <v>0</v>
      </c>
      <c r="BS65" s="11">
        <v>38</v>
      </c>
      <c r="BT65" s="11">
        <v>0</v>
      </c>
      <c r="BU65" s="11">
        <v>0</v>
      </c>
      <c r="BV65" s="11">
        <v>0</v>
      </c>
      <c r="BW65" s="11">
        <v>2</v>
      </c>
      <c r="BX65" s="11">
        <v>1</v>
      </c>
      <c r="BY65" s="11">
        <v>0</v>
      </c>
      <c r="BZ65" s="11">
        <v>11</v>
      </c>
      <c r="CA65" s="11">
        <v>0</v>
      </c>
      <c r="CB65" s="11">
        <v>0</v>
      </c>
      <c r="CC65" s="11">
        <v>1</v>
      </c>
      <c r="CD65" s="11">
        <v>0</v>
      </c>
      <c r="CE65">
        <v>185</v>
      </c>
      <c r="CF65">
        <v>13</v>
      </c>
      <c r="CG65">
        <v>40</v>
      </c>
      <c r="CH65">
        <v>11</v>
      </c>
      <c r="CI65">
        <v>0</v>
      </c>
      <c r="CJ65" s="14">
        <v>0.56578947368421051</v>
      </c>
      <c r="CK65" s="14">
        <v>0.71705426356589153</v>
      </c>
      <c r="CL65" s="14">
        <v>5.0387596899224806E-2</v>
      </c>
      <c r="CM65" s="14">
        <v>0.15503875968992248</v>
      </c>
      <c r="CN65" s="14">
        <v>4.2635658914728682E-2</v>
      </c>
      <c r="CO65" s="14">
        <v>0</v>
      </c>
      <c r="CP65" s="30">
        <v>8</v>
      </c>
      <c r="CQ65" s="15">
        <v>199</v>
      </c>
      <c r="CR65">
        <v>24</v>
      </c>
      <c r="CS65">
        <v>21</v>
      </c>
      <c r="CU65">
        <v>4</v>
      </c>
      <c r="CV65" s="14">
        <v>0.57362637362637359</v>
      </c>
      <c r="CW65" s="14">
        <v>0.76245210727969348</v>
      </c>
      <c r="CX65" s="14">
        <v>9.1954022988505746E-2</v>
      </c>
      <c r="CY65" s="14">
        <v>8.0459770114942528E-2</v>
      </c>
      <c r="CZ65" s="14">
        <v>0</v>
      </c>
      <c r="DA65" s="14">
        <v>1.532567049808429E-2</v>
      </c>
      <c r="DB65" s="30">
        <v>8</v>
      </c>
      <c r="DC65" s="14" t="s">
        <v>488</v>
      </c>
      <c r="DD65" s="17" t="s">
        <v>439</v>
      </c>
      <c r="DE65" s="17" t="s">
        <v>439</v>
      </c>
      <c r="DF65" s="17" t="s">
        <v>442</v>
      </c>
      <c r="DG65" s="21">
        <v>139.18</v>
      </c>
      <c r="DH65" s="16">
        <v>456</v>
      </c>
      <c r="DI65" s="16">
        <v>0</v>
      </c>
      <c r="DJ65" s="16">
        <v>258</v>
      </c>
      <c r="DK65" s="23">
        <v>0.56578947368421051</v>
      </c>
      <c r="DL65" s="16">
        <v>0</v>
      </c>
      <c r="DM65">
        <v>0</v>
      </c>
      <c r="DN65" s="25"/>
      <c r="DO65" s="25"/>
      <c r="DP65" s="25"/>
      <c r="DQ65" s="26"/>
      <c r="DR65" s="26"/>
    </row>
    <row r="66" spans="1:122" ht="14.25" customHeight="1">
      <c r="A66" s="2">
        <v>5024</v>
      </c>
      <c r="B66" s="3" t="s">
        <v>197</v>
      </c>
      <c r="C66" s="3" t="s">
        <v>203</v>
      </c>
      <c r="D66" s="4">
        <v>64</v>
      </c>
      <c r="E66" s="3" t="s">
        <v>347</v>
      </c>
      <c r="F66" s="3" t="s">
        <v>348</v>
      </c>
      <c r="G66" s="4" t="s">
        <v>349</v>
      </c>
      <c r="H66" s="4" t="b">
        <v>1</v>
      </c>
      <c r="I66" s="4" t="b">
        <v>1</v>
      </c>
      <c r="J66" s="5" t="s">
        <v>349</v>
      </c>
      <c r="K66" s="5" t="s">
        <v>203</v>
      </c>
      <c r="L66" s="5" t="s">
        <v>347</v>
      </c>
      <c r="M66" s="5" t="s">
        <v>348</v>
      </c>
      <c r="N66" s="2" t="s">
        <v>15</v>
      </c>
      <c r="O66" s="2" t="s">
        <v>401</v>
      </c>
      <c r="P66" s="2">
        <v>70556</v>
      </c>
      <c r="Q66" s="2" t="s">
        <v>402</v>
      </c>
      <c r="R66" s="2">
        <v>109</v>
      </c>
      <c r="S66" s="2">
        <v>78</v>
      </c>
      <c r="T66" s="2">
        <v>78</v>
      </c>
      <c r="U66" s="2">
        <v>5</v>
      </c>
      <c r="V66" s="2">
        <v>73</v>
      </c>
      <c r="W66" s="2">
        <v>49</v>
      </c>
      <c r="X66" s="2">
        <v>11</v>
      </c>
      <c r="Y66" s="2">
        <v>0</v>
      </c>
      <c r="Z66" s="2">
        <v>1</v>
      </c>
      <c r="AA66" s="2">
        <v>7</v>
      </c>
      <c r="AB66" s="2">
        <v>1</v>
      </c>
      <c r="AC66" s="2">
        <v>1</v>
      </c>
      <c r="AD66" s="2">
        <v>0</v>
      </c>
      <c r="AE66" s="2">
        <v>0</v>
      </c>
      <c r="AF66" s="2">
        <v>0</v>
      </c>
      <c r="AG66" s="2">
        <v>1</v>
      </c>
      <c r="AH66" s="2">
        <v>0</v>
      </c>
      <c r="AI66" s="2">
        <v>0</v>
      </c>
      <c r="AJ66" s="2">
        <v>1</v>
      </c>
      <c r="AK66" s="2">
        <v>0</v>
      </c>
      <c r="AL66" s="2">
        <v>0</v>
      </c>
      <c r="AM66" s="2">
        <v>0</v>
      </c>
      <c r="AN66" s="2">
        <v>0</v>
      </c>
      <c r="AO66" s="2">
        <v>1</v>
      </c>
      <c r="AP66" s="2">
        <v>109</v>
      </c>
      <c r="AQ66" s="2">
        <v>78</v>
      </c>
      <c r="AR66" s="2">
        <v>78</v>
      </c>
      <c r="AS66" s="2">
        <v>1</v>
      </c>
      <c r="AT66" s="2">
        <v>77</v>
      </c>
      <c r="AU66" s="2">
        <v>1</v>
      </c>
      <c r="AV66" s="2">
        <v>0</v>
      </c>
      <c r="AW66" s="2">
        <v>0</v>
      </c>
      <c r="AX66" s="2">
        <v>7</v>
      </c>
      <c r="AY66" s="2">
        <v>1</v>
      </c>
      <c r="AZ66" s="2">
        <v>66</v>
      </c>
      <c r="BA66" s="2">
        <v>0</v>
      </c>
      <c r="BB66" s="2">
        <v>2</v>
      </c>
      <c r="BC66" s="11" t="s">
        <v>15</v>
      </c>
      <c r="BD66" s="11" t="s">
        <v>425</v>
      </c>
      <c r="BE66" s="11">
        <v>70556</v>
      </c>
      <c r="BF66" s="11" t="s">
        <v>402</v>
      </c>
      <c r="BG66" s="11">
        <v>64</v>
      </c>
      <c r="BH66" s="11">
        <v>103</v>
      </c>
      <c r="BI66" s="11">
        <v>64</v>
      </c>
      <c r="BJ66" s="11">
        <v>64</v>
      </c>
      <c r="BK66" s="11">
        <v>3</v>
      </c>
      <c r="BL66" s="11">
        <v>61</v>
      </c>
      <c r="BM66" s="11">
        <v>48</v>
      </c>
      <c r="BN66" s="11">
        <v>2</v>
      </c>
      <c r="BO66" s="11">
        <v>0</v>
      </c>
      <c r="BP66" s="11">
        <v>4</v>
      </c>
      <c r="BQ66" s="11">
        <v>1</v>
      </c>
      <c r="BR66" s="11">
        <v>0</v>
      </c>
      <c r="BS66" s="11">
        <v>4</v>
      </c>
      <c r="BT66" s="11">
        <v>0</v>
      </c>
      <c r="BU66" s="11">
        <v>0</v>
      </c>
      <c r="BV66" s="11">
        <v>0</v>
      </c>
      <c r="BW66" s="11">
        <v>0</v>
      </c>
      <c r="BX66" s="11">
        <v>1</v>
      </c>
      <c r="BY66" s="11">
        <v>0</v>
      </c>
      <c r="BZ66" s="11">
        <v>1</v>
      </c>
      <c r="CA66" s="11">
        <v>0</v>
      </c>
      <c r="CB66" s="11">
        <v>0</v>
      </c>
      <c r="CC66" s="11">
        <v>0</v>
      </c>
      <c r="CD66" s="11">
        <v>0</v>
      </c>
      <c r="CE66">
        <v>50</v>
      </c>
      <c r="CF66">
        <v>5</v>
      </c>
      <c r="CG66">
        <v>5</v>
      </c>
      <c r="CH66">
        <v>1</v>
      </c>
      <c r="CI66">
        <v>0</v>
      </c>
      <c r="CJ66" s="14">
        <v>0.62135922330097082</v>
      </c>
      <c r="CK66" s="14">
        <v>0.78125</v>
      </c>
      <c r="CL66" s="14">
        <v>7.8125E-2</v>
      </c>
      <c r="CM66" s="14">
        <v>7.8125E-2</v>
      </c>
      <c r="CN66" s="14">
        <v>1.5625E-2</v>
      </c>
      <c r="CO66" s="14">
        <v>0</v>
      </c>
      <c r="CP66" s="30">
        <v>8</v>
      </c>
      <c r="CQ66" s="15">
        <v>61</v>
      </c>
      <c r="CR66">
        <v>3</v>
      </c>
      <c r="CS66">
        <v>8</v>
      </c>
      <c r="CU66">
        <v>1</v>
      </c>
      <c r="CV66" s="14">
        <v>0.7155963302752294</v>
      </c>
      <c r="CW66" s="14">
        <v>0.78205128205128205</v>
      </c>
      <c r="CX66" s="14">
        <v>3.8461538461538464E-2</v>
      </c>
      <c r="CY66" s="14">
        <v>0.10256410256410256</v>
      </c>
      <c r="CZ66" s="14">
        <v>0</v>
      </c>
      <c r="DA66" s="14">
        <v>1.282051282051282E-2</v>
      </c>
      <c r="DB66" s="30">
        <v>8</v>
      </c>
      <c r="DC66" s="14" t="s">
        <v>488</v>
      </c>
      <c r="DD66" s="17" t="s">
        <v>439</v>
      </c>
      <c r="DE66" s="17" t="s">
        <v>439</v>
      </c>
      <c r="DF66" s="17" t="s">
        <v>442</v>
      </c>
      <c r="DG66" s="21">
        <v>25.009999999999998</v>
      </c>
      <c r="DH66" s="16">
        <v>103</v>
      </c>
      <c r="DI66" s="16">
        <v>0</v>
      </c>
      <c r="DJ66" s="16">
        <v>64</v>
      </c>
      <c r="DK66" s="23">
        <v>0.62135922330097082</v>
      </c>
      <c r="DL66" s="16">
        <v>0</v>
      </c>
      <c r="DM66">
        <v>0</v>
      </c>
      <c r="DN66" s="25"/>
      <c r="DO66" s="25"/>
      <c r="DP66" s="25"/>
      <c r="DQ66" s="26"/>
      <c r="DR66" s="26"/>
    </row>
    <row r="67" spans="1:122" ht="14.25" customHeight="1">
      <c r="A67" s="2">
        <v>5025</v>
      </c>
      <c r="B67" s="3" t="s">
        <v>197</v>
      </c>
      <c r="C67" s="3" t="s">
        <v>203</v>
      </c>
      <c r="D67" s="4">
        <v>65</v>
      </c>
      <c r="E67" s="3" t="s">
        <v>26</v>
      </c>
      <c r="F67" s="3" t="s">
        <v>350</v>
      </c>
      <c r="G67" s="4" t="s">
        <v>351</v>
      </c>
      <c r="H67" s="4" t="b">
        <v>1</v>
      </c>
      <c r="I67" s="4" t="b">
        <v>1</v>
      </c>
      <c r="J67" s="5" t="s">
        <v>351</v>
      </c>
      <c r="K67" s="5" t="s">
        <v>203</v>
      </c>
      <c r="L67" s="5" t="s">
        <v>26</v>
      </c>
      <c r="M67" s="5" t="s">
        <v>350</v>
      </c>
      <c r="N67" s="2" t="s">
        <v>15</v>
      </c>
      <c r="O67" s="2" t="s">
        <v>401</v>
      </c>
      <c r="P67" s="2">
        <v>70556</v>
      </c>
      <c r="Q67" s="2" t="s">
        <v>402</v>
      </c>
      <c r="R67" s="2">
        <v>1011</v>
      </c>
      <c r="S67" s="2">
        <v>627</v>
      </c>
      <c r="T67" s="2">
        <v>627</v>
      </c>
      <c r="U67" s="2">
        <v>9</v>
      </c>
      <c r="V67" s="2">
        <v>618</v>
      </c>
      <c r="W67" s="2">
        <v>265</v>
      </c>
      <c r="X67" s="2">
        <v>110</v>
      </c>
      <c r="Y67" s="2">
        <v>1</v>
      </c>
      <c r="Z67" s="2">
        <v>29</v>
      </c>
      <c r="AA67" s="2">
        <v>70</v>
      </c>
      <c r="AB67" s="2">
        <v>31</v>
      </c>
      <c r="AC67" s="2">
        <v>35</v>
      </c>
      <c r="AD67" s="2">
        <v>0</v>
      </c>
      <c r="AE67" s="2">
        <v>23</v>
      </c>
      <c r="AF67" s="2">
        <v>12</v>
      </c>
      <c r="AG67" s="2">
        <v>28</v>
      </c>
      <c r="AH67" s="2">
        <v>1</v>
      </c>
      <c r="AI67" s="2">
        <v>0</v>
      </c>
      <c r="AJ67" s="2">
        <v>4</v>
      </c>
      <c r="AK67" s="2">
        <v>0</v>
      </c>
      <c r="AL67" s="2">
        <v>0</v>
      </c>
      <c r="AM67" s="2">
        <v>5</v>
      </c>
      <c r="AN67" s="2">
        <v>1</v>
      </c>
      <c r="AO67" s="2">
        <v>3</v>
      </c>
      <c r="AP67" s="2">
        <v>1011</v>
      </c>
      <c r="AQ67" s="2">
        <v>627</v>
      </c>
      <c r="AR67" s="2">
        <v>627</v>
      </c>
      <c r="AS67" s="2">
        <v>10</v>
      </c>
      <c r="AT67" s="2">
        <v>617</v>
      </c>
      <c r="AU67" s="2">
        <v>11</v>
      </c>
      <c r="AV67" s="2">
        <v>20</v>
      </c>
      <c r="AW67" s="2">
        <v>12</v>
      </c>
      <c r="AX67" s="2">
        <v>91</v>
      </c>
      <c r="AY67" s="2">
        <v>36</v>
      </c>
      <c r="AZ67" s="2">
        <v>377</v>
      </c>
      <c r="BA67" s="2">
        <v>32</v>
      </c>
      <c r="BB67" s="2">
        <v>38</v>
      </c>
      <c r="BC67" s="11" t="s">
        <v>15</v>
      </c>
      <c r="BD67" s="11" t="s">
        <v>425</v>
      </c>
      <c r="BE67" s="11">
        <v>70556</v>
      </c>
      <c r="BF67" s="11" t="s">
        <v>402</v>
      </c>
      <c r="BG67" s="11">
        <v>65</v>
      </c>
      <c r="BH67" s="11">
        <v>1024</v>
      </c>
      <c r="BI67" s="11">
        <v>604</v>
      </c>
      <c r="BJ67" s="11">
        <v>604</v>
      </c>
      <c r="BK67" s="11">
        <v>13</v>
      </c>
      <c r="BL67" s="11">
        <v>591</v>
      </c>
      <c r="BM67" s="11">
        <v>263</v>
      </c>
      <c r="BN67" s="11">
        <v>71</v>
      </c>
      <c r="BO67" s="11">
        <v>19</v>
      </c>
      <c r="BP67" s="11">
        <v>28</v>
      </c>
      <c r="BQ67" s="11">
        <v>24</v>
      </c>
      <c r="BR67" s="11">
        <v>0</v>
      </c>
      <c r="BS67" s="11">
        <v>120</v>
      </c>
      <c r="BT67" s="11">
        <v>3</v>
      </c>
      <c r="BU67" s="11">
        <v>1</v>
      </c>
      <c r="BV67" s="11">
        <v>1</v>
      </c>
      <c r="BW67" s="11">
        <v>6</v>
      </c>
      <c r="BX67" s="11">
        <v>7</v>
      </c>
      <c r="BY67" s="11">
        <v>0</v>
      </c>
      <c r="BZ67" s="11">
        <v>43</v>
      </c>
      <c r="CA67" s="11">
        <v>3</v>
      </c>
      <c r="CB67" s="11">
        <v>2</v>
      </c>
      <c r="CC67" s="11">
        <v>0</v>
      </c>
      <c r="CD67" s="11">
        <v>0</v>
      </c>
      <c r="CE67">
        <v>353</v>
      </c>
      <c r="CF67">
        <v>58</v>
      </c>
      <c r="CG67">
        <v>130</v>
      </c>
      <c r="CH67">
        <v>43</v>
      </c>
      <c r="CI67">
        <v>7</v>
      </c>
      <c r="CJ67" s="14">
        <v>0.58984375</v>
      </c>
      <c r="CK67" s="14">
        <v>0.58443708609271527</v>
      </c>
      <c r="CL67" s="14">
        <v>9.602649006622517E-2</v>
      </c>
      <c r="CM67" s="14">
        <v>0.21523178807947019</v>
      </c>
      <c r="CN67" s="14">
        <v>7.1192052980132453E-2</v>
      </c>
      <c r="CO67" s="14">
        <v>1.1589403973509934E-2</v>
      </c>
      <c r="CP67" s="30">
        <v>8</v>
      </c>
      <c r="CQ67" s="15">
        <v>404</v>
      </c>
      <c r="CR67">
        <v>106</v>
      </c>
      <c r="CS67">
        <v>103</v>
      </c>
      <c r="CU67">
        <v>5</v>
      </c>
      <c r="CV67" s="14">
        <v>0.62017804154302669</v>
      </c>
      <c r="CW67" s="14">
        <v>0.64433811802232854</v>
      </c>
      <c r="CX67" s="14">
        <v>0.16905901116427433</v>
      </c>
      <c r="CY67" s="14">
        <v>0.16427432216905902</v>
      </c>
      <c r="CZ67" s="14">
        <v>0</v>
      </c>
      <c r="DA67" s="14">
        <v>7.9744816586921844E-3</v>
      </c>
      <c r="DB67" s="30">
        <v>8</v>
      </c>
      <c r="DC67" s="14" t="s">
        <v>488</v>
      </c>
      <c r="DD67" s="17" t="s">
        <v>439</v>
      </c>
      <c r="DE67" s="17" t="s">
        <v>439</v>
      </c>
      <c r="DF67" s="17" t="s">
        <v>442</v>
      </c>
      <c r="DG67" s="21">
        <v>372.54999999999995</v>
      </c>
      <c r="DH67" s="22">
        <v>1024</v>
      </c>
      <c r="DI67" s="16">
        <v>1</v>
      </c>
      <c r="DJ67" s="16">
        <v>604</v>
      </c>
      <c r="DK67" s="23">
        <v>0.58984375</v>
      </c>
      <c r="DL67" s="16">
        <v>0</v>
      </c>
      <c r="DM67">
        <v>0</v>
      </c>
      <c r="DN67" s="25"/>
      <c r="DO67" s="25"/>
      <c r="DP67" s="25"/>
      <c r="DQ67" s="26"/>
      <c r="DR67" s="26"/>
    </row>
    <row r="68" spans="1:122" ht="14.25" customHeight="1">
      <c r="A68" s="2">
        <v>5026</v>
      </c>
      <c r="B68" s="3" t="s">
        <v>197</v>
      </c>
      <c r="C68" s="3" t="s">
        <v>203</v>
      </c>
      <c r="D68" s="4">
        <v>66</v>
      </c>
      <c r="E68" s="3" t="s">
        <v>352</v>
      </c>
      <c r="F68" s="3" t="s">
        <v>353</v>
      </c>
      <c r="G68" s="4" t="s">
        <v>354</v>
      </c>
      <c r="H68" s="4" t="b">
        <v>1</v>
      </c>
      <c r="I68" s="4" t="b">
        <v>1</v>
      </c>
      <c r="J68" s="5" t="s">
        <v>354</v>
      </c>
      <c r="K68" s="5" t="s">
        <v>203</v>
      </c>
      <c r="L68" s="5" t="s">
        <v>352</v>
      </c>
      <c r="M68" s="5" t="s">
        <v>353</v>
      </c>
      <c r="N68" s="2" t="s">
        <v>15</v>
      </c>
      <c r="O68" s="2" t="s">
        <v>401</v>
      </c>
      <c r="P68" s="2">
        <v>70556</v>
      </c>
      <c r="Q68" s="2" t="s">
        <v>402</v>
      </c>
      <c r="R68" s="2">
        <v>1068</v>
      </c>
      <c r="S68" s="2">
        <v>538</v>
      </c>
      <c r="T68" s="2">
        <v>538</v>
      </c>
      <c r="U68" s="2">
        <v>19</v>
      </c>
      <c r="V68" s="2">
        <v>519</v>
      </c>
      <c r="W68" s="2">
        <v>261</v>
      </c>
      <c r="X68" s="2">
        <v>92</v>
      </c>
      <c r="Y68" s="2">
        <v>3</v>
      </c>
      <c r="Z68" s="2">
        <v>19</v>
      </c>
      <c r="AA68" s="2">
        <v>30</v>
      </c>
      <c r="AB68" s="2">
        <v>20</v>
      </c>
      <c r="AC68" s="2">
        <v>26</v>
      </c>
      <c r="AD68" s="2">
        <v>5</v>
      </c>
      <c r="AE68" s="2">
        <v>19</v>
      </c>
      <c r="AF68" s="2">
        <v>12</v>
      </c>
      <c r="AG68" s="2">
        <v>14</v>
      </c>
      <c r="AH68" s="2">
        <v>1</v>
      </c>
      <c r="AI68" s="2">
        <v>0</v>
      </c>
      <c r="AJ68" s="2">
        <v>9</v>
      </c>
      <c r="AK68" s="2">
        <v>1</v>
      </c>
      <c r="AL68" s="2">
        <v>0</v>
      </c>
      <c r="AM68" s="2">
        <v>6</v>
      </c>
      <c r="AN68" s="2">
        <v>0</v>
      </c>
      <c r="AO68" s="2">
        <v>1</v>
      </c>
      <c r="AP68" s="2">
        <v>1068</v>
      </c>
      <c r="AQ68" s="2">
        <v>538</v>
      </c>
      <c r="AR68" s="2">
        <v>538</v>
      </c>
      <c r="AS68" s="2">
        <v>9</v>
      </c>
      <c r="AT68" s="2">
        <v>529</v>
      </c>
      <c r="AU68" s="2">
        <v>8</v>
      </c>
      <c r="AV68" s="2">
        <v>15</v>
      </c>
      <c r="AW68" s="2">
        <v>17</v>
      </c>
      <c r="AX68" s="2">
        <v>46</v>
      </c>
      <c r="AY68" s="2">
        <v>39</v>
      </c>
      <c r="AZ68" s="2">
        <v>366</v>
      </c>
      <c r="BA68" s="2">
        <v>17</v>
      </c>
      <c r="BB68" s="2">
        <v>21</v>
      </c>
      <c r="BC68" s="11" t="s">
        <v>15</v>
      </c>
      <c r="BD68" s="11" t="s">
        <v>425</v>
      </c>
      <c r="BE68" s="11">
        <v>70556</v>
      </c>
      <c r="BF68" s="11" t="s">
        <v>402</v>
      </c>
      <c r="BG68" s="11">
        <v>66</v>
      </c>
      <c r="BH68" s="11">
        <v>1059</v>
      </c>
      <c r="BI68" s="11">
        <v>488</v>
      </c>
      <c r="BJ68" s="11">
        <v>488</v>
      </c>
      <c r="BK68" s="11">
        <v>23</v>
      </c>
      <c r="BL68" s="11">
        <v>465</v>
      </c>
      <c r="BM68" s="11">
        <v>300</v>
      </c>
      <c r="BN68" s="11">
        <v>32</v>
      </c>
      <c r="BO68" s="11">
        <v>5</v>
      </c>
      <c r="BP68" s="11">
        <v>13</v>
      </c>
      <c r="BQ68" s="11">
        <v>25</v>
      </c>
      <c r="BR68" s="11">
        <v>0</v>
      </c>
      <c r="BS68" s="11">
        <v>65</v>
      </c>
      <c r="BT68" s="11">
        <v>0</v>
      </c>
      <c r="BU68" s="11">
        <v>0</v>
      </c>
      <c r="BV68" s="11">
        <v>2</v>
      </c>
      <c r="BW68" s="11">
        <v>3</v>
      </c>
      <c r="BX68" s="11">
        <v>5</v>
      </c>
      <c r="BY68" s="11">
        <v>0</v>
      </c>
      <c r="BZ68" s="11">
        <v>12</v>
      </c>
      <c r="CA68" s="11">
        <v>0</v>
      </c>
      <c r="CB68" s="11">
        <v>1</v>
      </c>
      <c r="CC68" s="11">
        <v>2</v>
      </c>
      <c r="CD68" s="11">
        <v>0</v>
      </c>
      <c r="CE68">
        <v>337</v>
      </c>
      <c r="CF68">
        <v>41</v>
      </c>
      <c r="CG68">
        <v>72</v>
      </c>
      <c r="CH68">
        <v>12</v>
      </c>
      <c r="CI68">
        <v>3</v>
      </c>
      <c r="CJ68" s="14">
        <v>0.46081208687440983</v>
      </c>
      <c r="CK68" s="14">
        <v>0.69057377049180324</v>
      </c>
      <c r="CL68" s="14">
        <v>8.4016393442622947E-2</v>
      </c>
      <c r="CM68" s="14">
        <v>0.14754098360655737</v>
      </c>
      <c r="CN68" s="14">
        <v>2.4590163934426229E-2</v>
      </c>
      <c r="CO68" s="14">
        <v>6.1475409836065573E-3</v>
      </c>
      <c r="CP68" s="30">
        <v>5</v>
      </c>
      <c r="CQ68" s="15">
        <v>372</v>
      </c>
      <c r="CR68">
        <v>72</v>
      </c>
      <c r="CS68">
        <v>65</v>
      </c>
      <c r="CU68">
        <v>10</v>
      </c>
      <c r="CV68" s="14">
        <v>0.50374531835205993</v>
      </c>
      <c r="CW68" s="14">
        <v>0.69144981412639406</v>
      </c>
      <c r="CX68" s="14">
        <v>0.13382899628252787</v>
      </c>
      <c r="CY68" s="14">
        <v>0.120817843866171</v>
      </c>
      <c r="CZ68" s="14">
        <v>0</v>
      </c>
      <c r="DA68" s="14">
        <v>1.858736059479554E-2</v>
      </c>
      <c r="DB68" s="30">
        <v>6</v>
      </c>
      <c r="DC68" s="14" t="s">
        <v>476</v>
      </c>
      <c r="DD68" s="17" t="s">
        <v>437</v>
      </c>
      <c r="DE68" s="17" t="s">
        <v>438</v>
      </c>
      <c r="DF68" s="17" t="s">
        <v>455</v>
      </c>
      <c r="DG68" s="21">
        <v>343.82000000000005</v>
      </c>
      <c r="DH68" s="22">
        <v>1059</v>
      </c>
      <c r="DI68" s="16">
        <v>1</v>
      </c>
      <c r="DJ68" s="16">
        <v>488</v>
      </c>
      <c r="DK68" s="23">
        <v>0.46081208687440983</v>
      </c>
      <c r="DL68" s="16">
        <v>1</v>
      </c>
      <c r="DM68">
        <v>5</v>
      </c>
      <c r="DN68" s="24"/>
      <c r="DO68" s="25"/>
      <c r="DP68" s="25"/>
      <c r="DQ68" s="27"/>
      <c r="DR68" s="26"/>
    </row>
    <row r="69" spans="1:122" ht="14.25" customHeight="1">
      <c r="A69" s="2">
        <v>5027</v>
      </c>
      <c r="B69" s="3" t="s">
        <v>197</v>
      </c>
      <c r="C69" s="3" t="s">
        <v>203</v>
      </c>
      <c r="D69" s="4">
        <v>67</v>
      </c>
      <c r="E69" s="3" t="s">
        <v>14</v>
      </c>
      <c r="F69" s="3" t="s">
        <v>353</v>
      </c>
      <c r="G69" s="4" t="s">
        <v>355</v>
      </c>
      <c r="H69" s="4" t="b">
        <v>1</v>
      </c>
      <c r="I69" s="4" t="b">
        <v>1</v>
      </c>
      <c r="J69" s="5" t="s">
        <v>355</v>
      </c>
      <c r="K69" s="5" t="s">
        <v>203</v>
      </c>
      <c r="L69" s="5" t="s">
        <v>14</v>
      </c>
      <c r="M69" s="5" t="s">
        <v>353</v>
      </c>
      <c r="N69" s="2" t="s">
        <v>15</v>
      </c>
      <c r="O69" s="2" t="s">
        <v>401</v>
      </c>
      <c r="P69" s="2">
        <v>70556</v>
      </c>
      <c r="Q69" s="2" t="s">
        <v>402</v>
      </c>
      <c r="R69" s="2">
        <v>793</v>
      </c>
      <c r="S69" s="2">
        <v>419</v>
      </c>
      <c r="T69" s="2">
        <v>419</v>
      </c>
      <c r="U69" s="2">
        <v>14</v>
      </c>
      <c r="V69" s="2">
        <v>405</v>
      </c>
      <c r="W69" s="2">
        <v>248</v>
      </c>
      <c r="X69" s="2">
        <v>46</v>
      </c>
      <c r="Y69" s="2">
        <v>0</v>
      </c>
      <c r="Z69" s="2">
        <v>5</v>
      </c>
      <c r="AA69" s="2">
        <v>30</v>
      </c>
      <c r="AB69" s="2">
        <v>13</v>
      </c>
      <c r="AC69" s="2">
        <v>17</v>
      </c>
      <c r="AD69" s="2">
        <v>3</v>
      </c>
      <c r="AE69" s="2">
        <v>4</v>
      </c>
      <c r="AF69" s="2">
        <v>13</v>
      </c>
      <c r="AG69" s="2">
        <v>15</v>
      </c>
      <c r="AH69" s="2">
        <v>1</v>
      </c>
      <c r="AI69" s="2">
        <v>0</v>
      </c>
      <c r="AJ69" s="2">
        <v>7</v>
      </c>
      <c r="AK69" s="2">
        <v>1</v>
      </c>
      <c r="AL69" s="2">
        <v>0</v>
      </c>
      <c r="AM69" s="2">
        <v>1</v>
      </c>
      <c r="AN69" s="2">
        <v>0</v>
      </c>
      <c r="AO69" s="2">
        <v>1</v>
      </c>
      <c r="AP69" s="2">
        <v>793</v>
      </c>
      <c r="AQ69" s="2">
        <v>419</v>
      </c>
      <c r="AR69" s="2">
        <v>419</v>
      </c>
      <c r="AS69" s="2">
        <v>10</v>
      </c>
      <c r="AT69" s="2">
        <v>409</v>
      </c>
      <c r="AU69" s="2">
        <v>7</v>
      </c>
      <c r="AV69" s="2">
        <v>8</v>
      </c>
      <c r="AW69" s="2">
        <v>9</v>
      </c>
      <c r="AX69" s="2">
        <v>31</v>
      </c>
      <c r="AY69" s="2">
        <v>18</v>
      </c>
      <c r="AZ69" s="2">
        <v>298</v>
      </c>
      <c r="BA69" s="2">
        <v>16</v>
      </c>
      <c r="BB69" s="2">
        <v>22</v>
      </c>
      <c r="BC69" s="11" t="s">
        <v>15</v>
      </c>
      <c r="BD69" s="11" t="s">
        <v>425</v>
      </c>
      <c r="BE69" s="11">
        <v>70556</v>
      </c>
      <c r="BF69" s="11" t="s">
        <v>402</v>
      </c>
      <c r="BG69" s="11">
        <v>67</v>
      </c>
      <c r="BH69" s="11">
        <v>762</v>
      </c>
      <c r="BI69" s="11">
        <v>358</v>
      </c>
      <c r="BJ69" s="11">
        <v>358</v>
      </c>
      <c r="BK69" s="11">
        <v>11</v>
      </c>
      <c r="BL69" s="11">
        <v>347</v>
      </c>
      <c r="BM69" s="11">
        <v>213</v>
      </c>
      <c r="BN69" s="11">
        <v>25</v>
      </c>
      <c r="BO69" s="11">
        <v>6</v>
      </c>
      <c r="BP69" s="11">
        <v>12</v>
      </c>
      <c r="BQ69" s="11">
        <v>9</v>
      </c>
      <c r="BR69" s="11">
        <v>0</v>
      </c>
      <c r="BS69" s="11">
        <v>58</v>
      </c>
      <c r="BT69" s="11">
        <v>0</v>
      </c>
      <c r="BU69" s="11">
        <v>0</v>
      </c>
      <c r="BV69" s="11">
        <v>0</v>
      </c>
      <c r="BW69" s="11">
        <v>3</v>
      </c>
      <c r="BX69" s="11">
        <v>3</v>
      </c>
      <c r="BY69" s="11">
        <v>0</v>
      </c>
      <c r="BZ69" s="11">
        <v>14</v>
      </c>
      <c r="CA69" s="11">
        <v>0</v>
      </c>
      <c r="CB69" s="11">
        <v>2</v>
      </c>
      <c r="CC69" s="11">
        <v>2</v>
      </c>
      <c r="CD69" s="11">
        <v>0</v>
      </c>
      <c r="CE69">
        <v>244</v>
      </c>
      <c r="CF69">
        <v>24</v>
      </c>
      <c r="CG69">
        <v>63</v>
      </c>
      <c r="CH69">
        <v>14</v>
      </c>
      <c r="CI69">
        <v>2</v>
      </c>
      <c r="CJ69" s="14">
        <v>0.46981627296587924</v>
      </c>
      <c r="CK69" s="14">
        <v>0.68156424581005581</v>
      </c>
      <c r="CL69" s="14">
        <v>6.7039106145251395E-2</v>
      </c>
      <c r="CM69" s="14">
        <v>0.17597765363128492</v>
      </c>
      <c r="CN69" s="14">
        <v>3.9106145251396648E-2</v>
      </c>
      <c r="CO69" s="14">
        <v>5.5865921787709499E-3</v>
      </c>
      <c r="CP69" s="30">
        <v>5</v>
      </c>
      <c r="CQ69" s="15">
        <v>299</v>
      </c>
      <c r="CR69">
        <v>58</v>
      </c>
      <c r="CS69">
        <v>43</v>
      </c>
      <c r="CU69">
        <v>5</v>
      </c>
      <c r="CV69" s="14">
        <v>0.52837326607818413</v>
      </c>
      <c r="CW69" s="14">
        <v>0.71360381861575184</v>
      </c>
      <c r="CX69" s="14">
        <v>0.13842482100238662</v>
      </c>
      <c r="CY69" s="14">
        <v>0.1026252983293556</v>
      </c>
      <c r="CZ69" s="14">
        <v>0</v>
      </c>
      <c r="DA69" s="14">
        <v>1.1933174224343675E-2</v>
      </c>
      <c r="DB69" s="30">
        <v>6</v>
      </c>
      <c r="DC69" s="14" t="s">
        <v>476</v>
      </c>
      <c r="DD69" s="17" t="s">
        <v>437</v>
      </c>
      <c r="DE69" s="17" t="s">
        <v>438</v>
      </c>
      <c r="DF69" s="17" t="s">
        <v>455</v>
      </c>
      <c r="DG69" s="21">
        <v>253.93</v>
      </c>
      <c r="DH69" s="16">
        <v>762</v>
      </c>
      <c r="DI69" s="16">
        <v>0</v>
      </c>
      <c r="DJ69" s="16">
        <v>358</v>
      </c>
      <c r="DK69" s="23">
        <v>0.46981627296587924</v>
      </c>
      <c r="DL69" s="16">
        <v>1</v>
      </c>
      <c r="DM69">
        <v>5</v>
      </c>
      <c r="DN69" s="25"/>
      <c r="DO69" s="25"/>
      <c r="DP69" s="25"/>
      <c r="DQ69" s="26"/>
      <c r="DR69" s="26"/>
    </row>
    <row r="70" spans="1:122" ht="14.25" customHeight="1">
      <c r="A70" s="2">
        <v>5028</v>
      </c>
      <c r="B70" s="3" t="s">
        <v>197</v>
      </c>
      <c r="C70" s="3" t="s">
        <v>203</v>
      </c>
      <c r="D70" s="4">
        <v>68</v>
      </c>
      <c r="E70" s="3" t="s">
        <v>356</v>
      </c>
      <c r="F70" s="3" t="s">
        <v>357</v>
      </c>
      <c r="G70" s="4" t="s">
        <v>358</v>
      </c>
      <c r="H70" s="4" t="b">
        <v>1</v>
      </c>
      <c r="I70" s="4" t="b">
        <v>1</v>
      </c>
      <c r="J70" s="5" t="s">
        <v>358</v>
      </c>
      <c r="K70" s="5" t="s">
        <v>203</v>
      </c>
      <c r="L70" s="5" t="s">
        <v>356</v>
      </c>
      <c r="M70" s="5" t="s">
        <v>357</v>
      </c>
      <c r="N70" s="2" t="s">
        <v>15</v>
      </c>
      <c r="O70" s="2" t="s">
        <v>401</v>
      </c>
      <c r="P70" s="2">
        <v>70556</v>
      </c>
      <c r="Q70" s="2" t="s">
        <v>402</v>
      </c>
      <c r="R70" s="2">
        <v>149</v>
      </c>
      <c r="S70" s="2">
        <v>84</v>
      </c>
      <c r="T70" s="2">
        <v>84</v>
      </c>
      <c r="U70" s="2">
        <v>3</v>
      </c>
      <c r="V70" s="2">
        <v>81</v>
      </c>
      <c r="W70" s="2">
        <v>52</v>
      </c>
      <c r="X70" s="2">
        <v>11</v>
      </c>
      <c r="Y70" s="2">
        <v>0</v>
      </c>
      <c r="Z70" s="2">
        <v>5</v>
      </c>
      <c r="AA70" s="2">
        <v>0</v>
      </c>
      <c r="AB70" s="2">
        <v>5</v>
      </c>
      <c r="AC70" s="2">
        <v>6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0</v>
      </c>
      <c r="AK70" s="2">
        <v>0</v>
      </c>
      <c r="AL70" s="2">
        <v>0</v>
      </c>
      <c r="AM70" s="2">
        <v>1</v>
      </c>
      <c r="AN70" s="2">
        <v>0</v>
      </c>
      <c r="AO70" s="2">
        <v>0</v>
      </c>
      <c r="AP70" s="2">
        <v>149</v>
      </c>
      <c r="AQ70" s="2">
        <v>84</v>
      </c>
      <c r="AR70" s="2">
        <v>84</v>
      </c>
      <c r="AS70" s="2">
        <v>1</v>
      </c>
      <c r="AT70" s="2">
        <v>83</v>
      </c>
      <c r="AU70" s="2">
        <v>1</v>
      </c>
      <c r="AV70" s="2">
        <v>0</v>
      </c>
      <c r="AW70" s="2">
        <v>1</v>
      </c>
      <c r="AX70" s="2">
        <v>2</v>
      </c>
      <c r="AY70" s="2">
        <v>4</v>
      </c>
      <c r="AZ70" s="2">
        <v>71</v>
      </c>
      <c r="BA70" s="2">
        <v>4</v>
      </c>
      <c r="BB70" s="2">
        <v>0</v>
      </c>
      <c r="BC70" s="11" t="s">
        <v>15</v>
      </c>
      <c r="BD70" s="11" t="s">
        <v>425</v>
      </c>
      <c r="BE70" s="11">
        <v>70556</v>
      </c>
      <c r="BF70" s="11" t="s">
        <v>402</v>
      </c>
      <c r="BG70" s="11">
        <v>68</v>
      </c>
      <c r="BH70" s="11">
        <v>143</v>
      </c>
      <c r="BI70" s="11">
        <v>78</v>
      </c>
      <c r="BJ70" s="11">
        <v>78</v>
      </c>
      <c r="BK70" s="11">
        <v>3</v>
      </c>
      <c r="BL70" s="11">
        <v>75</v>
      </c>
      <c r="BM70" s="11">
        <v>55</v>
      </c>
      <c r="BN70" s="11">
        <v>5</v>
      </c>
      <c r="BO70" s="11">
        <v>3</v>
      </c>
      <c r="BP70" s="11">
        <v>4</v>
      </c>
      <c r="BQ70" s="11">
        <v>1</v>
      </c>
      <c r="BR70" s="11">
        <v>0</v>
      </c>
      <c r="BS70" s="11">
        <v>4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1</v>
      </c>
      <c r="CA70" s="11">
        <v>0</v>
      </c>
      <c r="CB70" s="11">
        <v>0</v>
      </c>
      <c r="CC70" s="11">
        <v>2</v>
      </c>
      <c r="CD70" s="11">
        <v>0</v>
      </c>
      <c r="CE70">
        <v>63</v>
      </c>
      <c r="CF70">
        <v>5</v>
      </c>
      <c r="CG70">
        <v>6</v>
      </c>
      <c r="CH70">
        <v>1</v>
      </c>
      <c r="CI70">
        <v>0</v>
      </c>
      <c r="CJ70" s="14">
        <v>0.54545454545454541</v>
      </c>
      <c r="CK70" s="14">
        <v>0.80769230769230771</v>
      </c>
      <c r="CL70" s="14">
        <v>6.4102564102564097E-2</v>
      </c>
      <c r="CM70" s="14">
        <v>7.6923076923076927E-2</v>
      </c>
      <c r="CN70" s="14">
        <v>1.282051282051282E-2</v>
      </c>
      <c r="CO70" s="14">
        <v>0</v>
      </c>
      <c r="CP70" s="30">
        <v>8</v>
      </c>
      <c r="CQ70" s="15">
        <v>68</v>
      </c>
      <c r="CR70">
        <v>11</v>
      </c>
      <c r="CS70">
        <v>1</v>
      </c>
      <c r="CU70">
        <v>1</v>
      </c>
      <c r="CV70" s="14">
        <v>0.56375838926174493</v>
      </c>
      <c r="CW70" s="14">
        <v>0.80952380952380953</v>
      </c>
      <c r="CX70" s="14">
        <v>0.13095238095238096</v>
      </c>
      <c r="CY70" s="14">
        <v>1.1904761904761904E-2</v>
      </c>
      <c r="CZ70" s="14">
        <v>0</v>
      </c>
      <c r="DA70" s="14">
        <v>1.1904761904761904E-2</v>
      </c>
      <c r="DB70" s="30">
        <v>8</v>
      </c>
      <c r="DC70" s="14" t="s">
        <v>488</v>
      </c>
      <c r="DD70" s="17" t="s">
        <v>439</v>
      </c>
      <c r="DE70" s="17" t="s">
        <v>439</v>
      </c>
      <c r="DF70" s="17" t="s">
        <v>442</v>
      </c>
      <c r="DG70" s="21">
        <v>37.31</v>
      </c>
      <c r="DH70" s="16">
        <v>143</v>
      </c>
      <c r="DI70" s="16">
        <v>0</v>
      </c>
      <c r="DJ70" s="16">
        <v>78</v>
      </c>
      <c r="DK70" s="23">
        <v>0.54545454545454541</v>
      </c>
      <c r="DL70" s="16">
        <v>0</v>
      </c>
      <c r="DM70">
        <v>0</v>
      </c>
      <c r="DN70" s="25"/>
      <c r="DO70" s="25"/>
      <c r="DP70" s="25"/>
      <c r="DQ70" s="26"/>
      <c r="DR70" s="26"/>
    </row>
    <row r="71" spans="1:122" ht="14.25" customHeight="1">
      <c r="A71" s="2">
        <v>5029</v>
      </c>
      <c r="B71" s="3" t="s">
        <v>197</v>
      </c>
      <c r="C71" s="3" t="s">
        <v>203</v>
      </c>
      <c r="D71" s="4">
        <v>69</v>
      </c>
      <c r="E71" s="3" t="s">
        <v>20</v>
      </c>
      <c r="F71" s="3" t="s">
        <v>359</v>
      </c>
      <c r="G71" s="4" t="s">
        <v>360</v>
      </c>
      <c r="H71" s="4" t="b">
        <v>1</v>
      </c>
      <c r="I71" s="4" t="b">
        <v>1</v>
      </c>
      <c r="J71" s="5" t="s">
        <v>360</v>
      </c>
      <c r="K71" s="5" t="s">
        <v>203</v>
      </c>
      <c r="L71" s="5" t="s">
        <v>20</v>
      </c>
      <c r="M71" s="5" t="s">
        <v>359</v>
      </c>
      <c r="N71" s="2" t="s">
        <v>15</v>
      </c>
      <c r="O71" s="2" t="s">
        <v>401</v>
      </c>
      <c r="P71" s="2">
        <v>70556</v>
      </c>
      <c r="Q71" s="2" t="s">
        <v>402</v>
      </c>
      <c r="R71" s="2">
        <v>80</v>
      </c>
      <c r="S71" s="2">
        <v>35</v>
      </c>
      <c r="T71" s="2">
        <v>35</v>
      </c>
      <c r="U71" s="2">
        <v>1</v>
      </c>
      <c r="V71" s="2">
        <v>34</v>
      </c>
      <c r="W71" s="2">
        <v>24</v>
      </c>
      <c r="X71" s="2">
        <v>4</v>
      </c>
      <c r="Y71" s="2">
        <v>0</v>
      </c>
      <c r="Z71" s="2">
        <v>0</v>
      </c>
      <c r="AA71" s="2">
        <v>0</v>
      </c>
      <c r="AB71" s="2">
        <v>1</v>
      </c>
      <c r="AC71" s="2">
        <v>2</v>
      </c>
      <c r="AD71" s="2">
        <v>0</v>
      </c>
      <c r="AE71" s="2">
        <v>0</v>
      </c>
      <c r="AF71" s="2">
        <v>0</v>
      </c>
      <c r="AG71" s="2">
        <v>3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80</v>
      </c>
      <c r="AQ71" s="2">
        <v>35</v>
      </c>
      <c r="AR71" s="2">
        <v>35</v>
      </c>
      <c r="AS71" s="2">
        <v>0</v>
      </c>
      <c r="AT71" s="2">
        <v>35</v>
      </c>
      <c r="AU71" s="2">
        <v>1</v>
      </c>
      <c r="AV71" s="2">
        <v>0</v>
      </c>
      <c r="AW71" s="2">
        <v>0</v>
      </c>
      <c r="AX71" s="2">
        <v>0</v>
      </c>
      <c r="AY71" s="2">
        <v>2</v>
      </c>
      <c r="AZ71" s="2">
        <v>29</v>
      </c>
      <c r="BA71" s="2">
        <v>0</v>
      </c>
      <c r="BB71" s="2">
        <v>3</v>
      </c>
      <c r="BC71" s="11" t="s">
        <v>15</v>
      </c>
      <c r="BD71" s="11" t="s">
        <v>425</v>
      </c>
      <c r="BE71" s="11">
        <v>70556</v>
      </c>
      <c r="BF71" s="11" t="s">
        <v>402</v>
      </c>
      <c r="BG71" s="11">
        <v>69</v>
      </c>
      <c r="BH71" s="11">
        <v>81</v>
      </c>
      <c r="BI71" s="11">
        <v>27</v>
      </c>
      <c r="BJ71" s="11">
        <v>27</v>
      </c>
      <c r="BK71" s="11">
        <v>1</v>
      </c>
      <c r="BL71" s="11">
        <v>26</v>
      </c>
      <c r="BM71" s="11">
        <v>18</v>
      </c>
      <c r="BN71" s="11">
        <v>1</v>
      </c>
      <c r="BO71" s="11">
        <v>1</v>
      </c>
      <c r="BP71" s="11">
        <v>3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1</v>
      </c>
      <c r="BY71" s="11">
        <v>0</v>
      </c>
      <c r="BZ71" s="11">
        <v>2</v>
      </c>
      <c r="CA71" s="11">
        <v>0</v>
      </c>
      <c r="CB71" s="11">
        <v>0</v>
      </c>
      <c r="CC71" s="11">
        <v>0</v>
      </c>
      <c r="CD71" s="11">
        <v>0</v>
      </c>
      <c r="CE71">
        <v>20</v>
      </c>
      <c r="CF71">
        <v>3</v>
      </c>
      <c r="CG71">
        <v>1</v>
      </c>
      <c r="CH71">
        <v>2</v>
      </c>
      <c r="CI71">
        <v>0</v>
      </c>
      <c r="CJ71" s="14">
        <v>0.33333333333333331</v>
      </c>
      <c r="CK71" s="14">
        <v>0.7407407407407407</v>
      </c>
      <c r="CL71" s="14">
        <v>0.1111111111111111</v>
      </c>
      <c r="CM71" s="14">
        <v>3.7037037037037035E-2</v>
      </c>
      <c r="CN71" s="14">
        <v>7.407407407407407E-2</v>
      </c>
      <c r="CO71" s="14">
        <v>0</v>
      </c>
      <c r="CP71" s="30">
        <v>5</v>
      </c>
      <c r="CQ71" s="15">
        <v>28</v>
      </c>
      <c r="CR71">
        <v>6</v>
      </c>
      <c r="CS71">
        <v>0</v>
      </c>
      <c r="CU71">
        <v>0</v>
      </c>
      <c r="CV71" s="14">
        <v>0.4375</v>
      </c>
      <c r="CW71" s="14">
        <v>0.8</v>
      </c>
      <c r="CX71" s="14">
        <v>0.17142857142857143</v>
      </c>
      <c r="CY71" s="14">
        <v>0</v>
      </c>
      <c r="CZ71" s="14">
        <v>0</v>
      </c>
      <c r="DA71" s="14">
        <v>0</v>
      </c>
      <c r="DB71" s="30">
        <v>5</v>
      </c>
      <c r="DC71" s="14" t="s">
        <v>474</v>
      </c>
      <c r="DD71" s="17" t="s">
        <v>437</v>
      </c>
      <c r="DE71" s="17" t="s">
        <v>437</v>
      </c>
      <c r="DF71" s="17" t="s">
        <v>453</v>
      </c>
      <c r="DG71" s="21">
        <v>25.910000000000004</v>
      </c>
      <c r="DH71" s="16">
        <v>81</v>
      </c>
      <c r="DI71" s="16">
        <v>0</v>
      </c>
      <c r="DJ71" s="16">
        <v>27</v>
      </c>
      <c r="DK71" s="23">
        <v>0.33333333333333331</v>
      </c>
      <c r="DL71" s="16">
        <v>1</v>
      </c>
      <c r="DM71">
        <v>5</v>
      </c>
      <c r="DN71" s="25"/>
      <c r="DO71" s="25"/>
      <c r="DP71" s="25"/>
      <c r="DQ71" s="26"/>
      <c r="DR71" s="26"/>
    </row>
  </sheetData>
  <mergeCells count="5">
    <mergeCell ref="B1:I1"/>
    <mergeCell ref="J1:M1"/>
    <mergeCell ref="R1:AO1"/>
    <mergeCell ref="AP1:BB1"/>
    <mergeCell ref="BC1:CD1"/>
  </mergeCells>
  <conditionalFormatting sqref="H2:I9 H11:I71">
    <cfRule type="containsText" dxfId="20" priority="7" operator="containsText" text="&quot;FALSE&quot;">
      <formula>NOT(ISERROR(SEARCH(("""FALSE"""),(H2))))</formula>
    </cfRule>
  </conditionalFormatting>
  <conditionalFormatting sqref="DF1:DF71">
    <cfRule type="cellIs" dxfId="19" priority="1" operator="equal">
      <formula>"Bilo je SPN ubija otišlo na SPN ubija"</formula>
    </cfRule>
    <cfRule type="containsText" dxfId="18" priority="2" operator="containsText" text="otišlo na SPN ubija">
      <formula>NOT(ISERROR(SEARCH("otišlo na SPN ubija",DF1)))</formula>
    </cfRule>
    <cfRule type="containsText" dxfId="17" priority="3" operator="containsText" text="otišlo na SPN donekle ubija">
      <formula>NOT(ISERROR(SEARCH("otišlo na SPN donekle ubija",DF1)))</formula>
    </cfRule>
    <cfRule type="containsText" dxfId="16" priority="4" operator="containsText" text="otišlo na Desnicari jaki">
      <formula>NOT(ISERROR(SEARCH("otišlo na Desnicari jaki",DF1)))</formula>
    </cfRule>
    <cfRule type="containsText" dxfId="15" priority="5" operator="containsText" text="otišlo na Duboka apstinencija">
      <formula>NOT(ISERROR(SEARCH("otišlo na Duboka apstinencija",DF1)))</formula>
    </cfRule>
    <cfRule type="containsText" dxfId="14" priority="6" operator="containsText" text="otišlo na Plitka apstinencija">
      <formula>NOT(ISERROR(SEARCH("otišlo na Plitka apstinencija",DF1)))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56B1-FD32-450D-ABB3-9B4994D8FED9}">
  <dimension ref="A1:DX33"/>
  <sheetViews>
    <sheetView topLeftCell="CD1" workbookViewId="0">
      <selection activeCell="CQ33" sqref="CQ33:CU33"/>
    </sheetView>
  </sheetViews>
  <sheetFormatPr defaultRowHeight="14.6"/>
  <sheetData>
    <row r="1" spans="1:128" ht="18" customHeight="1">
      <c r="A1" s="1"/>
      <c r="B1" s="136" t="s">
        <v>0</v>
      </c>
      <c r="C1" s="136"/>
      <c r="D1" s="136"/>
      <c r="E1" s="136"/>
      <c r="F1" s="136"/>
      <c r="G1" s="136"/>
      <c r="H1" s="136"/>
      <c r="I1" s="136"/>
      <c r="J1" s="137" t="s">
        <v>1</v>
      </c>
      <c r="K1" s="137"/>
      <c r="L1" s="137"/>
      <c r="M1" s="137"/>
      <c r="N1" s="1"/>
      <c r="O1" s="1"/>
      <c r="P1" s="1"/>
      <c r="Q1" s="1"/>
      <c r="R1" s="138" t="s">
        <v>403</v>
      </c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 t="s">
        <v>404</v>
      </c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9" t="s">
        <v>426</v>
      </c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DD1" s="17"/>
      <c r="DE1" s="17"/>
      <c r="DF1" s="17"/>
      <c r="DG1" s="19"/>
      <c r="DH1" s="16"/>
      <c r="DI1" s="16"/>
      <c r="DJ1" s="16"/>
      <c r="DK1" s="16"/>
      <c r="DL1" s="16"/>
    </row>
    <row r="2" spans="1:128" s="11" customFormat="1" ht="54.65" customHeight="1">
      <c r="A2" s="6" t="s">
        <v>361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8" t="s">
        <v>7</v>
      </c>
      <c r="K2" s="8" t="s">
        <v>10</v>
      </c>
      <c r="L2" s="8" t="s">
        <v>5</v>
      </c>
      <c r="M2" s="8" t="s">
        <v>11</v>
      </c>
      <c r="N2" s="7" t="s">
        <v>362</v>
      </c>
      <c r="O2" s="7" t="s">
        <v>363</v>
      </c>
      <c r="P2" s="7" t="s">
        <v>364</v>
      </c>
      <c r="Q2" s="7" t="s">
        <v>365</v>
      </c>
      <c r="R2" s="7" t="s">
        <v>366</v>
      </c>
      <c r="S2" s="7" t="s">
        <v>367</v>
      </c>
      <c r="T2" s="7" t="s">
        <v>368</v>
      </c>
      <c r="U2" s="7" t="s">
        <v>369</v>
      </c>
      <c r="V2" s="7" t="s">
        <v>370</v>
      </c>
      <c r="W2" s="7" t="s">
        <v>371</v>
      </c>
      <c r="X2" s="7" t="s">
        <v>372</v>
      </c>
      <c r="Y2" s="7" t="s">
        <v>373</v>
      </c>
      <c r="Z2" s="7" t="s">
        <v>374</v>
      </c>
      <c r="AA2" s="7" t="s">
        <v>375</v>
      </c>
      <c r="AB2" s="7" t="s">
        <v>376</v>
      </c>
      <c r="AC2" s="7" t="s">
        <v>377</v>
      </c>
      <c r="AD2" s="7" t="s">
        <v>378</v>
      </c>
      <c r="AE2" s="7" t="s">
        <v>379</v>
      </c>
      <c r="AF2" s="7" t="s">
        <v>380</v>
      </c>
      <c r="AG2" s="7" t="s">
        <v>381</v>
      </c>
      <c r="AH2" s="7" t="s">
        <v>382</v>
      </c>
      <c r="AI2" s="7" t="s">
        <v>383</v>
      </c>
      <c r="AJ2" s="7" t="s">
        <v>384</v>
      </c>
      <c r="AK2" s="7" t="s">
        <v>385</v>
      </c>
      <c r="AL2" s="7" t="s">
        <v>386</v>
      </c>
      <c r="AM2" s="7" t="s">
        <v>387</v>
      </c>
      <c r="AN2" s="7" t="s">
        <v>388</v>
      </c>
      <c r="AO2" s="7" t="s">
        <v>389</v>
      </c>
      <c r="AP2" s="10" t="s">
        <v>366</v>
      </c>
      <c r="AQ2" s="10" t="s">
        <v>367</v>
      </c>
      <c r="AR2" s="10" t="s">
        <v>368</v>
      </c>
      <c r="AS2" s="10" t="s">
        <v>390</v>
      </c>
      <c r="AT2" s="10" t="s">
        <v>370</v>
      </c>
      <c r="AU2" s="10" t="s">
        <v>391</v>
      </c>
      <c r="AV2" s="10" t="s">
        <v>392</v>
      </c>
      <c r="AW2" s="10" t="s">
        <v>393</v>
      </c>
      <c r="AX2" s="10" t="s">
        <v>394</v>
      </c>
      <c r="AY2" s="10" t="s">
        <v>395</v>
      </c>
      <c r="AZ2" s="10" t="s">
        <v>396</v>
      </c>
      <c r="BA2" s="10" t="s">
        <v>397</v>
      </c>
      <c r="BB2" s="12" t="s">
        <v>398</v>
      </c>
      <c r="BC2" s="13" t="s">
        <v>362</v>
      </c>
      <c r="BD2" s="13" t="s">
        <v>363</v>
      </c>
      <c r="BE2" s="13" t="s">
        <v>364</v>
      </c>
      <c r="BF2" s="13" t="s">
        <v>365</v>
      </c>
      <c r="BG2" s="13" t="s">
        <v>405</v>
      </c>
      <c r="BH2" s="13" t="s">
        <v>366</v>
      </c>
      <c r="BI2" s="13" t="s">
        <v>367</v>
      </c>
      <c r="BJ2" s="13" t="s">
        <v>406</v>
      </c>
      <c r="BK2" s="13" t="s">
        <v>369</v>
      </c>
      <c r="BL2" s="13" t="s">
        <v>370</v>
      </c>
      <c r="BM2" s="13" t="s">
        <v>407</v>
      </c>
      <c r="BN2" s="13" t="s">
        <v>408</v>
      </c>
      <c r="BO2" s="13" t="s">
        <v>374</v>
      </c>
      <c r="BP2" s="13" t="s">
        <v>409</v>
      </c>
      <c r="BQ2" s="13" t="s">
        <v>410</v>
      </c>
      <c r="BR2" s="13" t="s">
        <v>411</v>
      </c>
      <c r="BS2" s="13" t="s">
        <v>412</v>
      </c>
      <c r="BT2" s="13" t="s">
        <v>413</v>
      </c>
      <c r="BU2" s="13" t="s">
        <v>414</v>
      </c>
      <c r="BV2" s="13" t="s">
        <v>415</v>
      </c>
      <c r="BW2" s="13" t="s">
        <v>416</v>
      </c>
      <c r="BX2" s="13" t="s">
        <v>417</v>
      </c>
      <c r="BY2" s="13" t="s">
        <v>418</v>
      </c>
      <c r="BZ2" s="13" t="s">
        <v>419</v>
      </c>
      <c r="CA2" s="13" t="s">
        <v>420</v>
      </c>
      <c r="CB2" s="13" t="s">
        <v>421</v>
      </c>
      <c r="CC2" s="13" t="s">
        <v>422</v>
      </c>
      <c r="CD2" s="13" t="s">
        <v>423</v>
      </c>
      <c r="CE2" s="11" t="s">
        <v>430</v>
      </c>
      <c r="CF2" s="11" t="s">
        <v>431</v>
      </c>
      <c r="CG2" s="11" t="s">
        <v>427</v>
      </c>
      <c r="CH2" s="11" t="s">
        <v>428</v>
      </c>
      <c r="CI2" s="11" t="s">
        <v>429</v>
      </c>
      <c r="CJ2" s="11" t="s">
        <v>432</v>
      </c>
      <c r="CK2" s="11" t="s">
        <v>430</v>
      </c>
      <c r="CL2" s="11" t="s">
        <v>431</v>
      </c>
      <c r="CM2" s="11" t="s">
        <v>427</v>
      </c>
      <c r="CN2" s="11" t="s">
        <v>428</v>
      </c>
      <c r="CO2" s="11" t="s">
        <v>429</v>
      </c>
      <c r="CP2" s="29">
        <v>2023</v>
      </c>
      <c r="CQ2" s="11" t="s">
        <v>430</v>
      </c>
      <c r="CR2" s="11" t="s">
        <v>431</v>
      </c>
      <c r="CS2" s="11" t="s">
        <v>427</v>
      </c>
      <c r="CT2" s="11" t="s">
        <v>428</v>
      </c>
      <c r="CU2" s="11" t="s">
        <v>429</v>
      </c>
      <c r="CV2" s="11" t="s">
        <v>432</v>
      </c>
      <c r="CW2" s="11" t="s">
        <v>430</v>
      </c>
      <c r="CX2" s="11" t="s">
        <v>431</v>
      </c>
      <c r="CY2" s="11" t="s">
        <v>427</v>
      </c>
      <c r="CZ2" s="11" t="s">
        <v>428</v>
      </c>
      <c r="DA2" s="11" t="s">
        <v>429</v>
      </c>
      <c r="DB2" s="29">
        <v>2022</v>
      </c>
      <c r="DD2" s="18">
        <v>2023</v>
      </c>
      <c r="DE2" s="18">
        <v>2022</v>
      </c>
      <c r="DF2" s="18"/>
      <c r="DG2" s="39" t="s">
        <v>462</v>
      </c>
      <c r="DH2" s="39" t="s">
        <v>464</v>
      </c>
      <c r="DI2" s="39" t="s">
        <v>468</v>
      </c>
      <c r="DJ2" s="39" t="s">
        <v>467</v>
      </c>
      <c r="DK2" s="39" t="s">
        <v>466</v>
      </c>
      <c r="DL2" s="39" t="s">
        <v>465</v>
      </c>
      <c r="DM2" s="39" t="s">
        <v>463</v>
      </c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</row>
    <row r="3" spans="1:128" ht="14.25" customHeight="1">
      <c r="A3" s="2">
        <v>5298</v>
      </c>
      <c r="B3" s="3" t="s">
        <v>494</v>
      </c>
      <c r="C3" s="3" t="s">
        <v>495</v>
      </c>
      <c r="D3" s="4">
        <v>4</v>
      </c>
      <c r="E3" s="3" t="s">
        <v>17</v>
      </c>
      <c r="F3" s="3" t="s">
        <v>496</v>
      </c>
      <c r="G3" s="4" t="s">
        <v>497</v>
      </c>
      <c r="H3" s="4" t="b">
        <v>1</v>
      </c>
      <c r="I3" s="4" t="s">
        <v>16</v>
      </c>
      <c r="J3" s="5" t="s">
        <v>497</v>
      </c>
      <c r="K3" s="5" t="s">
        <v>495</v>
      </c>
      <c r="L3" s="5" t="s">
        <v>17</v>
      </c>
      <c r="M3" s="5" t="s">
        <v>498</v>
      </c>
      <c r="N3" s="2" t="s">
        <v>499</v>
      </c>
      <c r="O3" s="2" t="s">
        <v>500</v>
      </c>
      <c r="P3" s="2">
        <v>70629</v>
      </c>
      <c r="Q3" s="2" t="s">
        <v>501</v>
      </c>
      <c r="R3" s="2">
        <v>549</v>
      </c>
      <c r="S3" s="2">
        <v>391</v>
      </c>
      <c r="T3" s="2">
        <v>391</v>
      </c>
      <c r="U3" s="2">
        <v>11</v>
      </c>
      <c r="V3" s="2">
        <v>380</v>
      </c>
      <c r="W3" s="2">
        <v>168</v>
      </c>
      <c r="X3" s="2">
        <v>63</v>
      </c>
      <c r="Y3" s="2">
        <v>0</v>
      </c>
      <c r="Z3" s="2">
        <v>3</v>
      </c>
      <c r="AA3" s="2">
        <v>33</v>
      </c>
      <c r="AB3" s="2">
        <v>32</v>
      </c>
      <c r="AC3" s="2">
        <v>16</v>
      </c>
      <c r="AD3" s="2">
        <v>0</v>
      </c>
      <c r="AE3" s="2">
        <v>16</v>
      </c>
      <c r="AF3" s="2">
        <v>12</v>
      </c>
      <c r="AG3" s="2">
        <v>24</v>
      </c>
      <c r="AH3" s="2">
        <v>0</v>
      </c>
      <c r="AI3" s="2">
        <v>0</v>
      </c>
      <c r="AJ3" s="2">
        <v>9</v>
      </c>
      <c r="AK3" s="2">
        <v>0</v>
      </c>
      <c r="AL3" s="2">
        <v>0</v>
      </c>
      <c r="AM3" s="2">
        <v>3</v>
      </c>
      <c r="AN3" s="2">
        <v>1</v>
      </c>
      <c r="AO3" s="2">
        <v>0</v>
      </c>
      <c r="AP3" s="2">
        <v>549</v>
      </c>
      <c r="AQ3" s="2">
        <v>391</v>
      </c>
      <c r="AR3" s="2">
        <v>391</v>
      </c>
      <c r="AS3" s="2">
        <v>6</v>
      </c>
      <c r="AT3" s="2">
        <v>385</v>
      </c>
      <c r="AU3" s="2">
        <v>8</v>
      </c>
      <c r="AV3" s="2">
        <v>9</v>
      </c>
      <c r="AW3" s="2">
        <v>10</v>
      </c>
      <c r="AX3" s="2">
        <v>53</v>
      </c>
      <c r="AY3" s="2">
        <v>18</v>
      </c>
      <c r="AZ3" s="2">
        <v>227</v>
      </c>
      <c r="BA3" s="2">
        <v>35</v>
      </c>
      <c r="BB3" s="2">
        <v>25</v>
      </c>
      <c r="BC3" s="11" t="s">
        <v>499</v>
      </c>
      <c r="BD3" s="11" t="s">
        <v>502</v>
      </c>
      <c r="BE3" s="11">
        <v>70629</v>
      </c>
      <c r="BF3" s="11" t="s">
        <v>501</v>
      </c>
      <c r="BG3" s="11">
        <v>4</v>
      </c>
      <c r="BH3" s="11">
        <v>560</v>
      </c>
      <c r="BI3" s="11">
        <v>400</v>
      </c>
      <c r="BJ3" s="11">
        <v>400</v>
      </c>
      <c r="BK3" s="11">
        <v>3</v>
      </c>
      <c r="BL3" s="11">
        <v>397</v>
      </c>
      <c r="BM3" s="11">
        <v>171</v>
      </c>
      <c r="BN3" s="11">
        <v>39</v>
      </c>
      <c r="BO3" s="11">
        <v>6</v>
      </c>
      <c r="BP3" s="11">
        <v>14</v>
      </c>
      <c r="BQ3" s="11">
        <v>42</v>
      </c>
      <c r="BR3" s="11">
        <v>0</v>
      </c>
      <c r="BS3" s="11">
        <v>97</v>
      </c>
      <c r="BT3" s="11">
        <v>0</v>
      </c>
      <c r="BU3" s="11">
        <v>0</v>
      </c>
      <c r="BV3" s="11">
        <v>0</v>
      </c>
      <c r="BW3" s="11">
        <v>2</v>
      </c>
      <c r="BX3" s="11">
        <v>3</v>
      </c>
      <c r="BY3" s="11">
        <v>0</v>
      </c>
      <c r="BZ3" s="11">
        <v>22</v>
      </c>
      <c r="CA3" s="11">
        <v>0</v>
      </c>
      <c r="CB3" s="11">
        <v>0</v>
      </c>
      <c r="CC3" s="11">
        <v>1</v>
      </c>
      <c r="CD3" s="11">
        <v>0</v>
      </c>
      <c r="CE3">
        <v>216</v>
      </c>
      <c r="CF3">
        <v>58</v>
      </c>
      <c r="CG3">
        <v>101</v>
      </c>
      <c r="CH3">
        <v>22</v>
      </c>
      <c r="CI3">
        <v>0</v>
      </c>
      <c r="CJ3" s="14">
        <v>0.7142857142857143</v>
      </c>
      <c r="CK3" s="14">
        <v>0.54</v>
      </c>
      <c r="CL3" s="14">
        <v>0.14499999999999999</v>
      </c>
      <c r="CM3" s="14">
        <v>0.2525</v>
      </c>
      <c r="CN3" s="14">
        <v>5.5E-2</v>
      </c>
      <c r="CO3" s="14">
        <v>0</v>
      </c>
      <c r="CP3" s="30">
        <v>3</v>
      </c>
      <c r="CQ3" s="15">
        <v>234</v>
      </c>
      <c r="CR3">
        <v>84</v>
      </c>
      <c r="CS3">
        <v>61</v>
      </c>
      <c r="CU3">
        <v>1</v>
      </c>
      <c r="CV3" s="14">
        <v>0.71220400728597455</v>
      </c>
      <c r="CW3" s="14">
        <v>0.59846547314578002</v>
      </c>
      <c r="CX3" s="14">
        <v>0.21483375959079284</v>
      </c>
      <c r="CY3" s="14">
        <v>0.15601023017902813</v>
      </c>
      <c r="CZ3" s="14">
        <v>0</v>
      </c>
      <c r="DA3" s="14">
        <v>2.5575447570332483E-3</v>
      </c>
      <c r="DB3" s="30">
        <v>3</v>
      </c>
      <c r="DC3" s="14" t="s">
        <v>469</v>
      </c>
      <c r="DD3" s="17" t="s">
        <v>435</v>
      </c>
      <c r="DE3" s="17" t="s">
        <v>435</v>
      </c>
      <c r="DF3" s="17" t="s">
        <v>446</v>
      </c>
      <c r="DG3" s="21">
        <v>221.72</v>
      </c>
      <c r="DH3" s="16">
        <v>560</v>
      </c>
      <c r="DI3" s="16">
        <v>0</v>
      </c>
      <c r="DJ3" s="16">
        <v>400</v>
      </c>
      <c r="DK3" s="23">
        <v>0.7142857142857143</v>
      </c>
      <c r="DL3" s="16">
        <v>1</v>
      </c>
      <c r="DM3">
        <v>4</v>
      </c>
      <c r="DN3" s="25"/>
      <c r="DO3" s="25"/>
      <c r="DP3" s="25"/>
      <c r="DQ3" s="26"/>
      <c r="DR3" s="26"/>
    </row>
    <row r="4" spans="1:128" ht="14.25" customHeight="1">
      <c r="A4" s="2">
        <v>5299</v>
      </c>
      <c r="B4" s="3" t="s">
        <v>494</v>
      </c>
      <c r="C4" s="3" t="s">
        <v>495</v>
      </c>
      <c r="D4" s="4">
        <v>5</v>
      </c>
      <c r="E4" s="3" t="s">
        <v>503</v>
      </c>
      <c r="F4" s="3" t="s">
        <v>504</v>
      </c>
      <c r="G4" s="4" t="s">
        <v>505</v>
      </c>
      <c r="H4" s="4" t="s">
        <v>16</v>
      </c>
      <c r="I4" s="4" t="s">
        <v>16</v>
      </c>
      <c r="J4" s="5" t="s">
        <v>505</v>
      </c>
      <c r="K4" s="5" t="s">
        <v>495</v>
      </c>
      <c r="L4" s="5" t="s">
        <v>506</v>
      </c>
      <c r="M4" s="5" t="s">
        <v>507</v>
      </c>
      <c r="N4" s="2" t="s">
        <v>499</v>
      </c>
      <c r="O4" s="2" t="s">
        <v>500</v>
      </c>
      <c r="P4" s="2">
        <v>70629</v>
      </c>
      <c r="Q4" s="2" t="s">
        <v>501</v>
      </c>
      <c r="R4" s="2">
        <v>239</v>
      </c>
      <c r="S4" s="2">
        <v>153</v>
      </c>
      <c r="T4" s="2">
        <v>153</v>
      </c>
      <c r="U4" s="2">
        <v>2</v>
      </c>
      <c r="V4" s="2">
        <v>151</v>
      </c>
      <c r="W4" s="2">
        <v>66</v>
      </c>
      <c r="X4" s="2">
        <v>14</v>
      </c>
      <c r="Y4" s="2">
        <v>1</v>
      </c>
      <c r="Z4" s="2">
        <v>3</v>
      </c>
      <c r="AA4" s="2">
        <v>19</v>
      </c>
      <c r="AB4" s="2">
        <v>12</v>
      </c>
      <c r="AC4" s="2">
        <v>7</v>
      </c>
      <c r="AD4" s="2">
        <v>1</v>
      </c>
      <c r="AE4" s="2">
        <v>8</v>
      </c>
      <c r="AF4" s="2">
        <v>2</v>
      </c>
      <c r="AG4" s="2">
        <v>14</v>
      </c>
      <c r="AH4" s="2">
        <v>0</v>
      </c>
      <c r="AI4" s="2">
        <v>0</v>
      </c>
      <c r="AJ4" s="2">
        <v>1</v>
      </c>
      <c r="AK4" s="2">
        <v>0</v>
      </c>
      <c r="AL4" s="2">
        <v>0</v>
      </c>
      <c r="AM4" s="2">
        <v>2</v>
      </c>
      <c r="AN4" s="2">
        <v>0</v>
      </c>
      <c r="AO4" s="2">
        <v>1</v>
      </c>
      <c r="AP4" s="2">
        <v>239</v>
      </c>
      <c r="AQ4" s="2">
        <v>153</v>
      </c>
      <c r="AR4" s="2">
        <v>153</v>
      </c>
      <c r="AS4" s="2">
        <v>3</v>
      </c>
      <c r="AT4" s="2">
        <v>150</v>
      </c>
      <c r="AU4" s="2">
        <v>2</v>
      </c>
      <c r="AV4" s="2">
        <v>5</v>
      </c>
      <c r="AW4" s="2">
        <v>6</v>
      </c>
      <c r="AX4" s="2">
        <v>21</v>
      </c>
      <c r="AY4" s="2">
        <v>8</v>
      </c>
      <c r="AZ4" s="2">
        <v>82</v>
      </c>
      <c r="BA4" s="2">
        <v>16</v>
      </c>
      <c r="BB4" s="2">
        <v>10</v>
      </c>
      <c r="BC4" s="11" t="s">
        <v>499</v>
      </c>
      <c r="BD4" s="11" t="s">
        <v>502</v>
      </c>
      <c r="BE4" s="11">
        <v>70629</v>
      </c>
      <c r="BF4" s="11" t="s">
        <v>501</v>
      </c>
      <c r="BG4" s="11">
        <v>5</v>
      </c>
      <c r="BH4" s="11">
        <v>235</v>
      </c>
      <c r="BI4" s="11">
        <v>147</v>
      </c>
      <c r="BJ4" s="11">
        <v>147</v>
      </c>
      <c r="BK4" s="11">
        <v>6</v>
      </c>
      <c r="BL4" s="11">
        <v>141</v>
      </c>
      <c r="BM4" s="11">
        <v>68</v>
      </c>
      <c r="BN4" s="11">
        <v>5</v>
      </c>
      <c r="BO4" s="11">
        <v>1</v>
      </c>
      <c r="BP4" s="11">
        <v>7</v>
      </c>
      <c r="BQ4" s="11">
        <v>13</v>
      </c>
      <c r="BR4" s="11">
        <v>0</v>
      </c>
      <c r="BS4" s="11">
        <v>35</v>
      </c>
      <c r="BT4" s="11">
        <v>1</v>
      </c>
      <c r="BU4" s="11">
        <v>0</v>
      </c>
      <c r="BV4" s="11">
        <v>2</v>
      </c>
      <c r="BW4" s="11">
        <v>0</v>
      </c>
      <c r="BX4" s="11">
        <v>2</v>
      </c>
      <c r="BY4" s="11">
        <v>0</v>
      </c>
      <c r="BZ4" s="11">
        <v>7</v>
      </c>
      <c r="CA4" s="11">
        <v>0</v>
      </c>
      <c r="CB4" s="11">
        <v>0</v>
      </c>
      <c r="CC4" s="11">
        <v>0</v>
      </c>
      <c r="CD4" s="11">
        <v>0</v>
      </c>
      <c r="CE4">
        <v>74</v>
      </c>
      <c r="CF4">
        <v>20</v>
      </c>
      <c r="CG4">
        <v>37</v>
      </c>
      <c r="CH4">
        <v>7</v>
      </c>
      <c r="CI4">
        <v>3</v>
      </c>
      <c r="CJ4" s="14">
        <v>0.62553191489361704</v>
      </c>
      <c r="CK4" s="14">
        <v>0.50340136054421769</v>
      </c>
      <c r="CL4" s="14">
        <v>0.1360544217687075</v>
      </c>
      <c r="CM4" s="14">
        <v>0.25170068027210885</v>
      </c>
      <c r="CN4" s="14">
        <v>4.7619047619047616E-2</v>
      </c>
      <c r="CO4" s="14">
        <v>2.0408163265306121E-2</v>
      </c>
      <c r="CP4" s="30">
        <v>3</v>
      </c>
      <c r="CQ4" s="15">
        <v>83</v>
      </c>
      <c r="CR4">
        <v>35</v>
      </c>
      <c r="CS4">
        <v>30</v>
      </c>
      <c r="CU4">
        <v>3</v>
      </c>
      <c r="CV4" s="14">
        <v>0.64016736401673635</v>
      </c>
      <c r="CW4" s="14">
        <v>0.54248366013071891</v>
      </c>
      <c r="CX4" s="14">
        <v>0.22875816993464052</v>
      </c>
      <c r="CY4" s="14">
        <v>0.19607843137254902</v>
      </c>
      <c r="CZ4" s="14">
        <v>0</v>
      </c>
      <c r="DA4" s="14">
        <v>1.9607843137254902E-2</v>
      </c>
      <c r="DB4" s="30">
        <v>3</v>
      </c>
      <c r="DC4" s="14" t="s">
        <v>469</v>
      </c>
      <c r="DD4" s="17" t="s">
        <v>435</v>
      </c>
      <c r="DE4" s="17" t="s">
        <v>435</v>
      </c>
      <c r="DF4" s="17" t="s">
        <v>446</v>
      </c>
      <c r="DG4" s="21">
        <v>88.65</v>
      </c>
      <c r="DH4" s="16">
        <v>235</v>
      </c>
      <c r="DI4" s="16">
        <v>0</v>
      </c>
      <c r="DJ4" s="16">
        <v>147</v>
      </c>
      <c r="DK4" s="23">
        <v>0.62553191489361704</v>
      </c>
      <c r="DL4" s="16">
        <v>1</v>
      </c>
      <c r="DM4">
        <v>4</v>
      </c>
      <c r="DN4" s="25"/>
      <c r="DO4" s="25"/>
      <c r="DP4" s="25"/>
      <c r="DQ4" s="26"/>
      <c r="DR4" s="26"/>
    </row>
    <row r="5" spans="1:128" ht="14.25" customHeight="1">
      <c r="A5" s="2">
        <v>5300</v>
      </c>
      <c r="B5" s="3" t="s">
        <v>494</v>
      </c>
      <c r="C5" s="3" t="s">
        <v>495</v>
      </c>
      <c r="D5" s="4">
        <v>6</v>
      </c>
      <c r="E5" s="3" t="s">
        <v>508</v>
      </c>
      <c r="F5" s="3" t="s">
        <v>509</v>
      </c>
      <c r="G5" s="4" t="s">
        <v>510</v>
      </c>
      <c r="H5" s="4" t="b">
        <v>1</v>
      </c>
      <c r="I5" s="4" t="s">
        <v>16</v>
      </c>
      <c r="J5" s="5" t="s">
        <v>510</v>
      </c>
      <c r="K5" s="5" t="s">
        <v>495</v>
      </c>
      <c r="L5" s="5" t="s">
        <v>508</v>
      </c>
      <c r="M5" s="5" t="s">
        <v>511</v>
      </c>
      <c r="N5" s="2" t="s">
        <v>499</v>
      </c>
      <c r="O5" s="2" t="s">
        <v>500</v>
      </c>
      <c r="P5" s="2">
        <v>70629</v>
      </c>
      <c r="Q5" s="2" t="s">
        <v>501</v>
      </c>
      <c r="R5" s="2">
        <v>244</v>
      </c>
      <c r="S5" s="2">
        <v>175</v>
      </c>
      <c r="T5" s="2">
        <v>175</v>
      </c>
      <c r="U5" s="2">
        <v>5</v>
      </c>
      <c r="V5" s="2">
        <v>170</v>
      </c>
      <c r="W5" s="2">
        <v>80</v>
      </c>
      <c r="X5" s="2">
        <v>17</v>
      </c>
      <c r="Y5" s="2">
        <v>0</v>
      </c>
      <c r="Z5" s="2">
        <v>4</v>
      </c>
      <c r="AA5" s="2">
        <v>16</v>
      </c>
      <c r="AB5" s="2">
        <v>14</v>
      </c>
      <c r="AC5" s="2">
        <v>9</v>
      </c>
      <c r="AD5" s="2">
        <v>1</v>
      </c>
      <c r="AE5" s="2">
        <v>3</v>
      </c>
      <c r="AF5" s="2">
        <v>12</v>
      </c>
      <c r="AG5" s="2">
        <v>9</v>
      </c>
      <c r="AH5" s="2">
        <v>2</v>
      </c>
      <c r="AI5" s="2">
        <v>0</v>
      </c>
      <c r="AJ5" s="2">
        <v>2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  <c r="AP5" s="2">
        <v>244</v>
      </c>
      <c r="AQ5" s="2">
        <v>175</v>
      </c>
      <c r="AR5" s="2">
        <v>175</v>
      </c>
      <c r="AS5" s="2">
        <v>4</v>
      </c>
      <c r="AT5" s="2">
        <v>171</v>
      </c>
      <c r="AU5" s="2">
        <v>1</v>
      </c>
      <c r="AV5" s="2">
        <v>1</v>
      </c>
      <c r="AW5" s="2">
        <v>15</v>
      </c>
      <c r="AX5" s="2">
        <v>24</v>
      </c>
      <c r="AY5" s="2">
        <v>7</v>
      </c>
      <c r="AZ5" s="2">
        <v>98</v>
      </c>
      <c r="BA5" s="2">
        <v>15</v>
      </c>
      <c r="BB5" s="2">
        <v>10</v>
      </c>
      <c r="BC5" s="11" t="s">
        <v>499</v>
      </c>
      <c r="BD5" s="11" t="s">
        <v>502</v>
      </c>
      <c r="BE5" s="11">
        <v>70629</v>
      </c>
      <c r="BF5" s="11" t="s">
        <v>501</v>
      </c>
      <c r="BG5" s="11">
        <v>6</v>
      </c>
      <c r="BH5" s="11">
        <v>242</v>
      </c>
      <c r="BI5" s="11">
        <v>160</v>
      </c>
      <c r="BJ5" s="11">
        <v>160</v>
      </c>
      <c r="BK5" s="11">
        <v>5</v>
      </c>
      <c r="BL5" s="11">
        <v>155</v>
      </c>
      <c r="BM5" s="11">
        <v>74</v>
      </c>
      <c r="BN5" s="11">
        <v>10</v>
      </c>
      <c r="BO5" s="11">
        <v>1</v>
      </c>
      <c r="BP5" s="11">
        <v>4</v>
      </c>
      <c r="BQ5" s="11">
        <v>21</v>
      </c>
      <c r="BR5" s="11">
        <v>0</v>
      </c>
      <c r="BS5" s="11">
        <v>38</v>
      </c>
      <c r="BT5" s="11">
        <v>0</v>
      </c>
      <c r="BU5" s="11">
        <v>0</v>
      </c>
      <c r="BV5" s="11">
        <v>0</v>
      </c>
      <c r="BW5" s="11">
        <v>1</v>
      </c>
      <c r="BX5" s="11">
        <v>0</v>
      </c>
      <c r="BY5" s="11">
        <v>0</v>
      </c>
      <c r="BZ5" s="11">
        <v>5</v>
      </c>
      <c r="CA5" s="11">
        <v>0</v>
      </c>
      <c r="CB5" s="11">
        <v>0</v>
      </c>
      <c r="CC5" s="11">
        <v>1</v>
      </c>
      <c r="CD5" s="11">
        <v>0</v>
      </c>
      <c r="CE5">
        <v>85</v>
      </c>
      <c r="CF5">
        <v>26</v>
      </c>
      <c r="CG5">
        <v>39</v>
      </c>
      <c r="CH5">
        <v>5</v>
      </c>
      <c r="CI5">
        <v>0</v>
      </c>
      <c r="CJ5" s="14">
        <v>0.66115702479338845</v>
      </c>
      <c r="CK5" s="14">
        <v>0.53125</v>
      </c>
      <c r="CL5" s="14">
        <v>0.16250000000000001</v>
      </c>
      <c r="CM5" s="14">
        <v>0.24374999999999999</v>
      </c>
      <c r="CN5" s="14">
        <v>3.125E-2</v>
      </c>
      <c r="CO5" s="14">
        <v>0</v>
      </c>
      <c r="CP5" s="30">
        <v>3</v>
      </c>
      <c r="CQ5" s="15">
        <v>101</v>
      </c>
      <c r="CR5">
        <v>44</v>
      </c>
      <c r="CS5">
        <v>24</v>
      </c>
      <c r="CU5">
        <v>1</v>
      </c>
      <c r="CV5" s="14">
        <v>0.71721311475409832</v>
      </c>
      <c r="CW5" s="14">
        <v>0.57714285714285718</v>
      </c>
      <c r="CX5" s="14">
        <v>0.25142857142857145</v>
      </c>
      <c r="CY5" s="14">
        <v>0.13714285714285715</v>
      </c>
      <c r="CZ5" s="14">
        <v>0</v>
      </c>
      <c r="DA5" s="14">
        <v>5.7142857142857143E-3</v>
      </c>
      <c r="DB5" s="30">
        <v>3</v>
      </c>
      <c r="DC5" s="14" t="s">
        <v>469</v>
      </c>
      <c r="DD5" s="17" t="s">
        <v>435</v>
      </c>
      <c r="DE5" s="17" t="s">
        <v>435</v>
      </c>
      <c r="DF5" s="17" t="s">
        <v>446</v>
      </c>
      <c r="DG5" s="21">
        <v>93.54</v>
      </c>
      <c r="DH5" s="16">
        <v>242</v>
      </c>
      <c r="DI5" s="16">
        <v>0</v>
      </c>
      <c r="DJ5" s="16">
        <v>160</v>
      </c>
      <c r="DK5" s="23">
        <v>0.66115702479338845</v>
      </c>
      <c r="DL5" s="16">
        <v>1</v>
      </c>
      <c r="DM5">
        <v>4</v>
      </c>
      <c r="DN5" s="25"/>
      <c r="DO5" s="25"/>
      <c r="DP5" s="25"/>
      <c r="DQ5" s="26"/>
      <c r="DR5" s="26"/>
    </row>
    <row r="6" spans="1:128" ht="14.25" customHeight="1">
      <c r="A6" s="2">
        <v>5303</v>
      </c>
      <c r="B6" s="3" t="s">
        <v>494</v>
      </c>
      <c r="C6" s="3" t="s">
        <v>495</v>
      </c>
      <c r="D6" s="4">
        <v>9</v>
      </c>
      <c r="E6" s="3" t="s">
        <v>17</v>
      </c>
      <c r="F6" s="3" t="s">
        <v>512</v>
      </c>
      <c r="G6" s="4" t="s">
        <v>513</v>
      </c>
      <c r="H6" s="4" t="b">
        <v>1</v>
      </c>
      <c r="I6" s="4" t="s">
        <v>16</v>
      </c>
      <c r="J6" s="5" t="s">
        <v>513</v>
      </c>
      <c r="K6" s="5" t="s">
        <v>495</v>
      </c>
      <c r="L6" s="5" t="s">
        <v>17</v>
      </c>
      <c r="M6" s="5" t="s">
        <v>514</v>
      </c>
      <c r="N6" s="2" t="s">
        <v>499</v>
      </c>
      <c r="O6" s="2" t="s">
        <v>500</v>
      </c>
      <c r="P6" s="2">
        <v>70629</v>
      </c>
      <c r="Q6" s="2" t="s">
        <v>501</v>
      </c>
      <c r="R6" s="2">
        <v>164</v>
      </c>
      <c r="S6" s="2">
        <v>115</v>
      </c>
      <c r="T6" s="2">
        <v>115</v>
      </c>
      <c r="U6" s="2">
        <v>1</v>
      </c>
      <c r="V6" s="2">
        <v>114</v>
      </c>
      <c r="W6" s="2">
        <v>52</v>
      </c>
      <c r="X6" s="2">
        <v>9</v>
      </c>
      <c r="Y6" s="2">
        <v>1</v>
      </c>
      <c r="Z6" s="2">
        <v>6</v>
      </c>
      <c r="AA6" s="2">
        <v>15</v>
      </c>
      <c r="AB6" s="2">
        <v>4</v>
      </c>
      <c r="AC6" s="2">
        <v>5</v>
      </c>
      <c r="AD6" s="2">
        <v>0</v>
      </c>
      <c r="AE6" s="2">
        <v>0</v>
      </c>
      <c r="AF6" s="2">
        <v>11</v>
      </c>
      <c r="AG6" s="2">
        <v>8</v>
      </c>
      <c r="AH6" s="2">
        <v>0</v>
      </c>
      <c r="AI6" s="2">
        <v>0</v>
      </c>
      <c r="AJ6" s="2">
        <v>3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164</v>
      </c>
      <c r="AQ6" s="2">
        <v>115</v>
      </c>
      <c r="AR6" s="2">
        <v>115</v>
      </c>
      <c r="AS6" s="2">
        <v>1</v>
      </c>
      <c r="AT6" s="2">
        <v>114</v>
      </c>
      <c r="AU6" s="2">
        <v>1</v>
      </c>
      <c r="AV6" s="2">
        <v>0</v>
      </c>
      <c r="AW6" s="2">
        <v>4</v>
      </c>
      <c r="AX6" s="2">
        <v>23</v>
      </c>
      <c r="AY6" s="2">
        <v>6</v>
      </c>
      <c r="AZ6" s="2">
        <v>63</v>
      </c>
      <c r="BA6" s="2">
        <v>9</v>
      </c>
      <c r="BB6" s="2">
        <v>8</v>
      </c>
      <c r="BC6" s="11" t="s">
        <v>499</v>
      </c>
      <c r="BD6" s="11" t="s">
        <v>502</v>
      </c>
      <c r="BE6" s="11">
        <v>70629</v>
      </c>
      <c r="BF6" s="11" t="s">
        <v>501</v>
      </c>
      <c r="BG6" s="11">
        <v>9</v>
      </c>
      <c r="BH6" s="11">
        <v>165</v>
      </c>
      <c r="BI6" s="11">
        <v>115</v>
      </c>
      <c r="BJ6" s="11">
        <v>115</v>
      </c>
      <c r="BK6" s="11">
        <v>2</v>
      </c>
      <c r="BL6" s="11">
        <v>113</v>
      </c>
      <c r="BM6" s="11">
        <v>56</v>
      </c>
      <c r="BN6" s="11">
        <v>7</v>
      </c>
      <c r="BO6" s="11">
        <v>1</v>
      </c>
      <c r="BP6" s="11">
        <v>2</v>
      </c>
      <c r="BQ6" s="11">
        <v>20</v>
      </c>
      <c r="BR6" s="11">
        <v>1</v>
      </c>
      <c r="BS6" s="11">
        <v>17</v>
      </c>
      <c r="BT6" s="11">
        <v>0</v>
      </c>
      <c r="BU6" s="11">
        <v>0</v>
      </c>
      <c r="BV6" s="11">
        <v>0</v>
      </c>
      <c r="BW6" s="11">
        <v>2</v>
      </c>
      <c r="BX6" s="11">
        <v>0</v>
      </c>
      <c r="BY6" s="11">
        <v>0</v>
      </c>
      <c r="BZ6" s="11">
        <v>5</v>
      </c>
      <c r="CA6" s="11">
        <v>0</v>
      </c>
      <c r="CB6" s="11">
        <v>2</v>
      </c>
      <c r="CC6" s="11">
        <v>0</v>
      </c>
      <c r="CD6" s="11">
        <v>0</v>
      </c>
      <c r="CE6">
        <v>64</v>
      </c>
      <c r="CF6">
        <v>24</v>
      </c>
      <c r="CG6">
        <v>17</v>
      </c>
      <c r="CH6">
        <v>5</v>
      </c>
      <c r="CI6">
        <v>3</v>
      </c>
      <c r="CJ6" s="14">
        <v>0.69696969696969702</v>
      </c>
      <c r="CK6" s="14">
        <v>0.55652173913043479</v>
      </c>
      <c r="CL6" s="14">
        <v>0.20869565217391303</v>
      </c>
      <c r="CM6" s="14">
        <v>0.14782608695652175</v>
      </c>
      <c r="CN6" s="14">
        <v>4.3478260869565216E-2</v>
      </c>
      <c r="CO6" s="14">
        <v>2.6086956521739129E-2</v>
      </c>
      <c r="CP6" s="30">
        <v>3</v>
      </c>
      <c r="CQ6" s="15">
        <v>67</v>
      </c>
      <c r="CR6">
        <v>28</v>
      </c>
      <c r="CS6">
        <v>18</v>
      </c>
      <c r="CU6">
        <v>1</v>
      </c>
      <c r="CV6" s="14">
        <v>0.70121951219512191</v>
      </c>
      <c r="CW6" s="14">
        <v>0.58260869565217388</v>
      </c>
      <c r="CX6" s="14">
        <v>0.24347826086956523</v>
      </c>
      <c r="CY6" s="14">
        <v>0.15652173913043479</v>
      </c>
      <c r="CZ6" s="14">
        <v>0</v>
      </c>
      <c r="DA6" s="14">
        <v>8.6956521739130436E-3</v>
      </c>
      <c r="DB6" s="30">
        <v>3</v>
      </c>
      <c r="DC6" s="14" t="s">
        <v>469</v>
      </c>
      <c r="DD6" s="17" t="s">
        <v>435</v>
      </c>
      <c r="DE6" s="17" t="s">
        <v>435</v>
      </c>
      <c r="DF6" s="17" t="s">
        <v>446</v>
      </c>
      <c r="DG6" s="21">
        <v>59.310000000000009</v>
      </c>
      <c r="DH6" s="16">
        <v>165</v>
      </c>
      <c r="DI6" s="16">
        <v>0</v>
      </c>
      <c r="DJ6" s="16">
        <v>115</v>
      </c>
      <c r="DK6" s="23">
        <v>0.69696969696969702</v>
      </c>
      <c r="DL6" s="16">
        <v>1</v>
      </c>
      <c r="DM6">
        <v>4</v>
      </c>
      <c r="DN6" s="25"/>
      <c r="DO6" s="25"/>
      <c r="DP6" s="25"/>
      <c r="DQ6" s="26"/>
      <c r="DR6" s="26"/>
    </row>
    <row r="7" spans="1:128" ht="14.25" customHeight="1">
      <c r="A7" s="2">
        <v>5309</v>
      </c>
      <c r="B7" s="3" t="s">
        <v>494</v>
      </c>
      <c r="C7" s="3" t="s">
        <v>495</v>
      </c>
      <c r="D7" s="4">
        <v>15</v>
      </c>
      <c r="E7" s="3" t="s">
        <v>17</v>
      </c>
      <c r="F7" s="3" t="s">
        <v>515</v>
      </c>
      <c r="G7" s="4" t="s">
        <v>516</v>
      </c>
      <c r="H7" s="4" t="b">
        <v>1</v>
      </c>
      <c r="I7" s="4" t="s">
        <v>16</v>
      </c>
      <c r="J7" s="5" t="s">
        <v>516</v>
      </c>
      <c r="K7" s="5" t="s">
        <v>495</v>
      </c>
      <c r="L7" s="5" t="s">
        <v>17</v>
      </c>
      <c r="M7" s="5" t="s">
        <v>517</v>
      </c>
      <c r="N7" s="2" t="s">
        <v>499</v>
      </c>
      <c r="O7" s="2" t="s">
        <v>500</v>
      </c>
      <c r="P7" s="2">
        <v>70629</v>
      </c>
      <c r="Q7" s="2" t="s">
        <v>501</v>
      </c>
      <c r="R7" s="2">
        <v>127</v>
      </c>
      <c r="S7" s="2">
        <v>89</v>
      </c>
      <c r="T7" s="2">
        <v>89</v>
      </c>
      <c r="U7" s="2">
        <v>1</v>
      </c>
      <c r="V7" s="2">
        <v>88</v>
      </c>
      <c r="W7" s="2">
        <v>35</v>
      </c>
      <c r="X7" s="2">
        <v>11</v>
      </c>
      <c r="Y7" s="2">
        <v>0</v>
      </c>
      <c r="Z7" s="2">
        <v>1</v>
      </c>
      <c r="AA7" s="2">
        <v>3</v>
      </c>
      <c r="AB7" s="2">
        <v>9</v>
      </c>
      <c r="AC7" s="2">
        <v>2</v>
      </c>
      <c r="AD7" s="2">
        <v>0</v>
      </c>
      <c r="AE7" s="2">
        <v>2</v>
      </c>
      <c r="AF7" s="2">
        <v>14</v>
      </c>
      <c r="AG7" s="2">
        <v>9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2</v>
      </c>
      <c r="AP7" s="2">
        <v>127</v>
      </c>
      <c r="AQ7" s="2">
        <v>89</v>
      </c>
      <c r="AR7" s="2">
        <v>89</v>
      </c>
      <c r="AS7" s="2">
        <v>0</v>
      </c>
      <c r="AT7" s="2">
        <v>89</v>
      </c>
      <c r="AU7" s="2">
        <v>0</v>
      </c>
      <c r="AV7" s="2">
        <v>2</v>
      </c>
      <c r="AW7" s="2">
        <v>15</v>
      </c>
      <c r="AX7" s="2">
        <v>4</v>
      </c>
      <c r="AY7" s="2">
        <v>4</v>
      </c>
      <c r="AZ7" s="2">
        <v>52</v>
      </c>
      <c r="BA7" s="2">
        <v>4</v>
      </c>
      <c r="BB7" s="2">
        <v>8</v>
      </c>
      <c r="BC7" s="11" t="s">
        <v>499</v>
      </c>
      <c r="BD7" s="11" t="s">
        <v>502</v>
      </c>
      <c r="BE7" s="11">
        <v>70629</v>
      </c>
      <c r="BF7" s="11" t="s">
        <v>501</v>
      </c>
      <c r="BG7" s="11">
        <v>15</v>
      </c>
      <c r="BH7" s="11">
        <v>125</v>
      </c>
      <c r="BI7" s="11">
        <v>75</v>
      </c>
      <c r="BJ7" s="11">
        <v>75</v>
      </c>
      <c r="BK7" s="11">
        <v>1</v>
      </c>
      <c r="BL7" s="11">
        <v>74</v>
      </c>
      <c r="BM7" s="11">
        <v>41</v>
      </c>
      <c r="BN7" s="11">
        <v>7</v>
      </c>
      <c r="BO7" s="11">
        <v>0</v>
      </c>
      <c r="BP7" s="11">
        <v>4</v>
      </c>
      <c r="BQ7" s="11">
        <v>8</v>
      </c>
      <c r="BR7" s="11">
        <v>0</v>
      </c>
      <c r="BS7" s="11">
        <v>10</v>
      </c>
      <c r="BT7" s="11">
        <v>0</v>
      </c>
      <c r="BU7" s="11">
        <v>0</v>
      </c>
      <c r="BV7" s="11">
        <v>0</v>
      </c>
      <c r="BW7" s="11">
        <v>0</v>
      </c>
      <c r="BX7" s="11">
        <v>2</v>
      </c>
      <c r="BY7" s="11">
        <v>0</v>
      </c>
      <c r="BZ7" s="11">
        <v>1</v>
      </c>
      <c r="CA7" s="11">
        <v>0</v>
      </c>
      <c r="CB7" s="11">
        <v>1</v>
      </c>
      <c r="CC7" s="11">
        <v>0</v>
      </c>
      <c r="CD7" s="11">
        <v>0</v>
      </c>
      <c r="CE7">
        <v>48</v>
      </c>
      <c r="CF7">
        <v>12</v>
      </c>
      <c r="CG7">
        <v>12</v>
      </c>
      <c r="CH7">
        <v>1</v>
      </c>
      <c r="CI7">
        <v>1</v>
      </c>
      <c r="CJ7" s="14">
        <v>0.6</v>
      </c>
      <c r="CK7" s="14">
        <v>0.64</v>
      </c>
      <c r="CL7" s="14">
        <v>0.16</v>
      </c>
      <c r="CM7" s="14">
        <v>0.16</v>
      </c>
      <c r="CN7" s="14">
        <v>1.3333333333333334E-2</v>
      </c>
      <c r="CO7" s="14">
        <v>1.3333333333333334E-2</v>
      </c>
      <c r="CP7" s="30">
        <v>3</v>
      </c>
      <c r="CQ7" s="15">
        <v>47</v>
      </c>
      <c r="CR7">
        <v>34</v>
      </c>
      <c r="CS7">
        <v>5</v>
      </c>
      <c r="CU7">
        <v>2</v>
      </c>
      <c r="CV7" s="14">
        <v>0.70078740157480313</v>
      </c>
      <c r="CW7" s="14">
        <v>0.5280898876404494</v>
      </c>
      <c r="CX7" s="14">
        <v>0.38202247191011235</v>
      </c>
      <c r="CY7" s="14">
        <v>5.6179775280898875E-2</v>
      </c>
      <c r="CZ7" s="14">
        <v>0</v>
      </c>
      <c r="DA7" s="14">
        <v>2.247191011235955E-2</v>
      </c>
      <c r="DB7" s="30">
        <v>3</v>
      </c>
      <c r="DC7" s="14" t="s">
        <v>469</v>
      </c>
      <c r="DD7" s="17" t="s">
        <v>435</v>
      </c>
      <c r="DE7" s="17" t="s">
        <v>435</v>
      </c>
      <c r="DF7" s="17" t="s">
        <v>446</v>
      </c>
      <c r="DG7" s="21">
        <v>41.76</v>
      </c>
      <c r="DH7" s="16">
        <v>125</v>
      </c>
      <c r="DI7" s="16">
        <v>0</v>
      </c>
      <c r="DJ7" s="16">
        <v>75</v>
      </c>
      <c r="DK7" s="23">
        <v>0.6</v>
      </c>
      <c r="DL7" s="16">
        <v>1</v>
      </c>
      <c r="DM7">
        <v>4</v>
      </c>
      <c r="DN7" s="25"/>
      <c r="DO7" s="25"/>
      <c r="DP7" s="25"/>
      <c r="DQ7" s="26"/>
      <c r="DR7" s="26"/>
    </row>
    <row r="8" spans="1:128" ht="14.25" customHeight="1">
      <c r="A8" s="2">
        <v>5311</v>
      </c>
      <c r="B8" s="3" t="s">
        <v>494</v>
      </c>
      <c r="C8" s="3" t="s">
        <v>495</v>
      </c>
      <c r="D8" s="4">
        <v>17</v>
      </c>
      <c r="E8" s="3" t="s">
        <v>508</v>
      </c>
      <c r="F8" s="3" t="s">
        <v>518</v>
      </c>
      <c r="G8" s="4" t="s">
        <v>519</v>
      </c>
      <c r="H8" s="4" t="b">
        <v>1</v>
      </c>
      <c r="I8" s="4" t="s">
        <v>16</v>
      </c>
      <c r="J8" s="5" t="s">
        <v>519</v>
      </c>
      <c r="K8" s="5" t="s">
        <v>495</v>
      </c>
      <c r="L8" s="5" t="s">
        <v>508</v>
      </c>
      <c r="M8" s="5" t="s">
        <v>520</v>
      </c>
      <c r="N8" s="2" t="s">
        <v>499</v>
      </c>
      <c r="O8" s="2" t="s">
        <v>500</v>
      </c>
      <c r="P8" s="2">
        <v>70629</v>
      </c>
      <c r="Q8" s="2" t="s">
        <v>501</v>
      </c>
      <c r="R8" s="2">
        <v>235</v>
      </c>
      <c r="S8" s="2">
        <v>138</v>
      </c>
      <c r="T8" s="2">
        <v>138</v>
      </c>
      <c r="U8" s="2">
        <v>1</v>
      </c>
      <c r="V8" s="2">
        <v>137</v>
      </c>
      <c r="W8" s="2">
        <v>50</v>
      </c>
      <c r="X8" s="2">
        <v>18</v>
      </c>
      <c r="Y8" s="2">
        <v>0</v>
      </c>
      <c r="Z8" s="2">
        <v>1</v>
      </c>
      <c r="AA8" s="2">
        <v>9</v>
      </c>
      <c r="AB8" s="2">
        <v>19</v>
      </c>
      <c r="AC8" s="2">
        <v>3</v>
      </c>
      <c r="AD8" s="2">
        <v>0</v>
      </c>
      <c r="AE8" s="2">
        <v>10</v>
      </c>
      <c r="AF8" s="2">
        <v>1</v>
      </c>
      <c r="AG8" s="2">
        <v>21</v>
      </c>
      <c r="AH8" s="2">
        <v>0</v>
      </c>
      <c r="AI8" s="2">
        <v>1</v>
      </c>
      <c r="AJ8" s="2">
        <v>4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235</v>
      </c>
      <c r="AQ8" s="2">
        <v>138</v>
      </c>
      <c r="AR8" s="2">
        <v>138</v>
      </c>
      <c r="AS8" s="2">
        <v>2</v>
      </c>
      <c r="AT8" s="2">
        <v>136</v>
      </c>
      <c r="AU8" s="2">
        <v>0</v>
      </c>
      <c r="AV8" s="2">
        <v>4</v>
      </c>
      <c r="AW8" s="2">
        <v>4</v>
      </c>
      <c r="AX8" s="2">
        <v>14</v>
      </c>
      <c r="AY8" s="2">
        <v>6</v>
      </c>
      <c r="AZ8" s="2">
        <v>68</v>
      </c>
      <c r="BA8" s="2">
        <v>22</v>
      </c>
      <c r="BB8" s="2">
        <v>18</v>
      </c>
      <c r="BC8" s="11" t="s">
        <v>499</v>
      </c>
      <c r="BD8" s="11" t="s">
        <v>502</v>
      </c>
      <c r="BE8" s="11">
        <v>70629</v>
      </c>
      <c r="BF8" s="11" t="s">
        <v>501</v>
      </c>
      <c r="BG8" s="11">
        <v>17</v>
      </c>
      <c r="BH8" s="11">
        <v>230</v>
      </c>
      <c r="BI8" s="11">
        <v>150</v>
      </c>
      <c r="BJ8" s="11">
        <v>150</v>
      </c>
      <c r="BK8" s="11">
        <v>1</v>
      </c>
      <c r="BL8" s="11">
        <v>149</v>
      </c>
      <c r="BM8" s="11">
        <v>69</v>
      </c>
      <c r="BN8" s="11">
        <v>14</v>
      </c>
      <c r="BO8" s="11">
        <v>0</v>
      </c>
      <c r="BP8" s="11">
        <v>1</v>
      </c>
      <c r="BQ8" s="11">
        <v>16</v>
      </c>
      <c r="BR8" s="11">
        <v>0</v>
      </c>
      <c r="BS8" s="11">
        <v>30</v>
      </c>
      <c r="BT8" s="11">
        <v>0</v>
      </c>
      <c r="BU8" s="11">
        <v>0</v>
      </c>
      <c r="BV8" s="11">
        <v>1</v>
      </c>
      <c r="BW8" s="11">
        <v>3</v>
      </c>
      <c r="BX8" s="11">
        <v>0</v>
      </c>
      <c r="BY8" s="11">
        <v>0</v>
      </c>
      <c r="BZ8" s="11">
        <v>13</v>
      </c>
      <c r="CA8" s="11">
        <v>1</v>
      </c>
      <c r="CB8" s="11">
        <v>1</v>
      </c>
      <c r="CC8" s="11">
        <v>0</v>
      </c>
      <c r="CD8" s="11">
        <v>0</v>
      </c>
      <c r="CE8">
        <v>83</v>
      </c>
      <c r="CF8">
        <v>20</v>
      </c>
      <c r="CG8">
        <v>31</v>
      </c>
      <c r="CH8">
        <v>13</v>
      </c>
      <c r="CI8">
        <v>2</v>
      </c>
      <c r="CJ8" s="14">
        <v>0.65217391304347827</v>
      </c>
      <c r="CK8" s="14">
        <v>0.55333333333333334</v>
      </c>
      <c r="CL8" s="14">
        <v>0.13333333333333333</v>
      </c>
      <c r="CM8" s="14">
        <v>0.20666666666666667</v>
      </c>
      <c r="CN8" s="14">
        <v>8.666666666666667E-2</v>
      </c>
      <c r="CO8" s="14">
        <v>1.3333333333333334E-2</v>
      </c>
      <c r="CP8" s="30">
        <v>3</v>
      </c>
      <c r="CQ8" s="15">
        <v>69</v>
      </c>
      <c r="CR8">
        <v>44</v>
      </c>
      <c r="CS8">
        <v>23</v>
      </c>
      <c r="CU8">
        <v>1</v>
      </c>
      <c r="CV8" s="14">
        <v>0.58723404255319145</v>
      </c>
      <c r="CW8" s="14">
        <v>0.5</v>
      </c>
      <c r="CX8" s="14">
        <v>0.3188405797101449</v>
      </c>
      <c r="CY8" s="14">
        <v>0.16666666666666666</v>
      </c>
      <c r="CZ8" s="14">
        <v>0</v>
      </c>
      <c r="DA8" s="14">
        <v>7.246376811594203E-3</v>
      </c>
      <c r="DB8" s="30">
        <v>3</v>
      </c>
      <c r="DC8" s="14" t="s">
        <v>469</v>
      </c>
      <c r="DD8" s="17" t="s">
        <v>435</v>
      </c>
      <c r="DE8" s="17" t="s">
        <v>435</v>
      </c>
      <c r="DF8" s="17" t="s">
        <v>446</v>
      </c>
      <c r="DG8" s="21">
        <v>88.82</v>
      </c>
      <c r="DH8" s="16">
        <v>230</v>
      </c>
      <c r="DI8" s="16">
        <v>0</v>
      </c>
      <c r="DJ8" s="16">
        <v>150</v>
      </c>
      <c r="DK8" s="23">
        <v>0.65217391304347827</v>
      </c>
      <c r="DL8" s="16">
        <v>1</v>
      </c>
      <c r="DM8">
        <v>4</v>
      </c>
      <c r="DN8" s="25"/>
      <c r="DO8" s="25"/>
      <c r="DP8" s="25"/>
      <c r="DQ8" s="26"/>
      <c r="DR8" s="26"/>
    </row>
    <row r="9" spans="1:128" ht="14.25" customHeight="1">
      <c r="A9" s="2">
        <v>5312</v>
      </c>
      <c r="B9" s="3" t="s">
        <v>494</v>
      </c>
      <c r="C9" s="3" t="s">
        <v>495</v>
      </c>
      <c r="D9" s="4">
        <v>18</v>
      </c>
      <c r="E9" s="3" t="s">
        <v>521</v>
      </c>
      <c r="F9" s="3" t="s">
        <v>522</v>
      </c>
      <c r="G9" s="4" t="s">
        <v>523</v>
      </c>
      <c r="H9" s="4" t="s">
        <v>16</v>
      </c>
      <c r="I9" s="4" t="s">
        <v>16</v>
      </c>
      <c r="J9" s="5" t="s">
        <v>523</v>
      </c>
      <c r="K9" s="5" t="s">
        <v>495</v>
      </c>
      <c r="L9" s="5" t="s">
        <v>17</v>
      </c>
      <c r="M9" s="5" t="s">
        <v>524</v>
      </c>
      <c r="N9" s="2" t="s">
        <v>499</v>
      </c>
      <c r="O9" s="2" t="s">
        <v>500</v>
      </c>
      <c r="P9" s="2">
        <v>70629</v>
      </c>
      <c r="Q9" s="2" t="s">
        <v>501</v>
      </c>
      <c r="R9" s="2">
        <v>363</v>
      </c>
      <c r="S9" s="2">
        <v>235</v>
      </c>
      <c r="T9" s="2">
        <v>235</v>
      </c>
      <c r="U9" s="2">
        <v>6</v>
      </c>
      <c r="V9" s="2">
        <v>229</v>
      </c>
      <c r="W9" s="2">
        <v>95</v>
      </c>
      <c r="X9" s="2">
        <v>27</v>
      </c>
      <c r="Y9" s="2">
        <v>1</v>
      </c>
      <c r="Z9" s="2">
        <v>4</v>
      </c>
      <c r="AA9" s="2">
        <v>23</v>
      </c>
      <c r="AB9" s="2">
        <v>31</v>
      </c>
      <c r="AC9" s="2">
        <v>8</v>
      </c>
      <c r="AD9" s="2">
        <v>0</v>
      </c>
      <c r="AE9" s="2">
        <v>8</v>
      </c>
      <c r="AF9" s="2">
        <v>9</v>
      </c>
      <c r="AG9" s="2">
        <v>17</v>
      </c>
      <c r="AH9" s="2">
        <v>0</v>
      </c>
      <c r="AI9" s="2">
        <v>0</v>
      </c>
      <c r="AJ9" s="2">
        <v>3</v>
      </c>
      <c r="AK9" s="2">
        <v>0</v>
      </c>
      <c r="AL9" s="2">
        <v>0</v>
      </c>
      <c r="AM9" s="2">
        <v>1</v>
      </c>
      <c r="AN9" s="2">
        <v>2</v>
      </c>
      <c r="AO9" s="2">
        <v>0</v>
      </c>
      <c r="AP9" s="2">
        <v>363</v>
      </c>
      <c r="AQ9" s="2">
        <v>363</v>
      </c>
      <c r="AR9" s="2">
        <v>236</v>
      </c>
      <c r="AS9" s="2">
        <v>3</v>
      </c>
      <c r="AT9" s="2">
        <v>233</v>
      </c>
      <c r="AU9" s="2">
        <v>2</v>
      </c>
      <c r="AV9" s="2">
        <v>8</v>
      </c>
      <c r="AW9" s="2">
        <v>9</v>
      </c>
      <c r="AX9" s="2">
        <v>30</v>
      </c>
      <c r="AY9" s="2">
        <v>11</v>
      </c>
      <c r="AZ9" s="2">
        <v>126</v>
      </c>
      <c r="BA9" s="2">
        <v>25</v>
      </c>
      <c r="BB9" s="2">
        <v>22</v>
      </c>
      <c r="BC9" s="11" t="s">
        <v>499</v>
      </c>
      <c r="BD9" s="11" t="s">
        <v>502</v>
      </c>
      <c r="BE9" s="11">
        <v>70629</v>
      </c>
      <c r="BF9" s="11" t="s">
        <v>501</v>
      </c>
      <c r="BG9" s="11">
        <v>18</v>
      </c>
      <c r="BH9" s="11">
        <v>351</v>
      </c>
      <c r="BI9" s="11">
        <v>243</v>
      </c>
      <c r="BJ9" s="11">
        <v>243</v>
      </c>
      <c r="BK9" s="11">
        <v>5</v>
      </c>
      <c r="BL9" s="11">
        <v>238</v>
      </c>
      <c r="BM9" s="11">
        <v>140</v>
      </c>
      <c r="BN9" s="11">
        <v>6</v>
      </c>
      <c r="BO9" s="11">
        <v>4</v>
      </c>
      <c r="BP9" s="11">
        <v>16</v>
      </c>
      <c r="BQ9" s="11">
        <v>14</v>
      </c>
      <c r="BR9" s="11">
        <v>0</v>
      </c>
      <c r="BS9" s="11">
        <v>47</v>
      </c>
      <c r="BT9" s="11">
        <v>0</v>
      </c>
      <c r="BU9" s="11">
        <v>0</v>
      </c>
      <c r="BV9" s="11">
        <v>1</v>
      </c>
      <c r="BW9" s="11">
        <v>1</v>
      </c>
      <c r="BX9" s="11">
        <v>1</v>
      </c>
      <c r="BY9" s="11">
        <v>0</v>
      </c>
      <c r="BZ9" s="11">
        <v>7</v>
      </c>
      <c r="CA9" s="11">
        <v>0</v>
      </c>
      <c r="CB9" s="11">
        <v>0</v>
      </c>
      <c r="CC9" s="11">
        <v>0</v>
      </c>
      <c r="CD9" s="11">
        <v>1</v>
      </c>
      <c r="CE9">
        <v>150</v>
      </c>
      <c r="CF9">
        <v>31</v>
      </c>
      <c r="CG9">
        <v>48</v>
      </c>
      <c r="CH9">
        <v>7</v>
      </c>
      <c r="CI9">
        <v>2</v>
      </c>
      <c r="CJ9" s="14">
        <v>0.69230769230769229</v>
      </c>
      <c r="CK9" s="14">
        <v>0.61728395061728392</v>
      </c>
      <c r="CL9" s="14">
        <v>0.12757201646090535</v>
      </c>
      <c r="CM9" s="14">
        <v>0.19753086419753085</v>
      </c>
      <c r="CN9" s="14">
        <v>2.8806584362139918E-2</v>
      </c>
      <c r="CO9" s="14">
        <v>8.23045267489712E-3</v>
      </c>
      <c r="CP9" s="30">
        <v>3</v>
      </c>
      <c r="CQ9" s="15">
        <v>126</v>
      </c>
      <c r="CR9">
        <v>65</v>
      </c>
      <c r="CS9">
        <v>35</v>
      </c>
      <c r="CU9">
        <v>3</v>
      </c>
      <c r="CV9" s="14">
        <v>0.64738292011019283</v>
      </c>
      <c r="CW9" s="14">
        <v>0.53617021276595744</v>
      </c>
      <c r="CX9" s="14">
        <v>0.27659574468085107</v>
      </c>
      <c r="CY9" s="14">
        <v>0.14893617021276595</v>
      </c>
      <c r="CZ9" s="14">
        <v>0</v>
      </c>
      <c r="DA9" s="14">
        <v>1.276595744680851E-2</v>
      </c>
      <c r="DB9" s="30">
        <v>3</v>
      </c>
      <c r="DC9" s="14" t="s">
        <v>469</v>
      </c>
      <c r="DD9" s="17" t="s">
        <v>435</v>
      </c>
      <c r="DE9" s="17" t="s">
        <v>435</v>
      </c>
      <c r="DF9" s="17" t="s">
        <v>446</v>
      </c>
      <c r="DG9" s="21">
        <v>114.13999999999999</v>
      </c>
      <c r="DH9" s="16">
        <v>351</v>
      </c>
      <c r="DI9" s="16">
        <v>0</v>
      </c>
      <c r="DJ9" s="16">
        <v>243</v>
      </c>
      <c r="DK9" s="23">
        <v>0.69230769230769229</v>
      </c>
      <c r="DL9" s="16">
        <v>1</v>
      </c>
      <c r="DM9">
        <v>4</v>
      </c>
      <c r="DN9" s="25"/>
      <c r="DO9" s="25"/>
      <c r="DP9" s="25"/>
      <c r="DQ9" s="26"/>
      <c r="DR9" s="26"/>
    </row>
    <row r="10" spans="1:128" ht="14.25" customHeight="1">
      <c r="A10" s="2">
        <v>5313</v>
      </c>
      <c r="B10" s="3" t="s">
        <v>494</v>
      </c>
      <c r="C10" s="3" t="s">
        <v>495</v>
      </c>
      <c r="D10" s="4">
        <v>19</v>
      </c>
      <c r="E10" s="3" t="s">
        <v>18</v>
      </c>
      <c r="F10" s="3" t="s">
        <v>525</v>
      </c>
      <c r="G10" s="4" t="s">
        <v>526</v>
      </c>
      <c r="H10" s="4" t="s">
        <v>16</v>
      </c>
      <c r="I10" s="4" t="s">
        <v>16</v>
      </c>
      <c r="J10" s="5" t="s">
        <v>526</v>
      </c>
      <c r="K10" s="5" t="s">
        <v>495</v>
      </c>
      <c r="L10" s="5" t="s">
        <v>527</v>
      </c>
      <c r="M10" s="5" t="s">
        <v>528</v>
      </c>
      <c r="N10" s="2" t="s">
        <v>499</v>
      </c>
      <c r="O10" s="2" t="s">
        <v>500</v>
      </c>
      <c r="P10" s="2">
        <v>70629</v>
      </c>
      <c r="Q10" s="2" t="s">
        <v>501</v>
      </c>
      <c r="R10" s="2">
        <v>238</v>
      </c>
      <c r="S10" s="2">
        <v>175</v>
      </c>
      <c r="T10" s="2">
        <v>175</v>
      </c>
      <c r="U10" s="2">
        <v>8</v>
      </c>
      <c r="V10" s="2">
        <v>167</v>
      </c>
      <c r="W10" s="2">
        <v>74</v>
      </c>
      <c r="X10" s="2">
        <v>20</v>
      </c>
      <c r="Y10" s="2">
        <v>1</v>
      </c>
      <c r="Z10" s="2">
        <v>4</v>
      </c>
      <c r="AA10" s="2">
        <v>11</v>
      </c>
      <c r="AB10" s="2">
        <v>39</v>
      </c>
      <c r="AC10" s="2">
        <v>6</v>
      </c>
      <c r="AD10" s="2">
        <v>0</v>
      </c>
      <c r="AE10" s="2">
        <v>3</v>
      </c>
      <c r="AF10" s="2">
        <v>2</v>
      </c>
      <c r="AG10" s="2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238</v>
      </c>
      <c r="AQ10" s="2">
        <v>175</v>
      </c>
      <c r="AR10" s="2">
        <v>175</v>
      </c>
      <c r="AS10" s="2">
        <v>6</v>
      </c>
      <c r="AT10" s="2">
        <v>169</v>
      </c>
      <c r="AU10" s="2">
        <v>3</v>
      </c>
      <c r="AV10" s="2">
        <v>1</v>
      </c>
      <c r="AW10" s="2">
        <v>2</v>
      </c>
      <c r="AX10" s="2">
        <v>16</v>
      </c>
      <c r="AY10" s="2">
        <v>9</v>
      </c>
      <c r="AZ10" s="2">
        <v>100</v>
      </c>
      <c r="BA10" s="2">
        <v>32</v>
      </c>
      <c r="BB10" s="2">
        <v>6</v>
      </c>
      <c r="BC10" s="11" t="s">
        <v>499</v>
      </c>
      <c r="BD10" s="11" t="s">
        <v>502</v>
      </c>
      <c r="BE10" s="11">
        <v>70629</v>
      </c>
      <c r="BF10" s="11" t="s">
        <v>501</v>
      </c>
      <c r="BG10" s="11">
        <v>19</v>
      </c>
      <c r="BH10" s="11">
        <v>230</v>
      </c>
      <c r="BI10" s="11">
        <v>166</v>
      </c>
      <c r="BJ10" s="11">
        <v>166</v>
      </c>
      <c r="BK10" s="11">
        <v>5</v>
      </c>
      <c r="BL10" s="11">
        <v>161</v>
      </c>
      <c r="BM10" s="11">
        <v>72</v>
      </c>
      <c r="BN10" s="11">
        <v>8</v>
      </c>
      <c r="BO10" s="11">
        <v>2</v>
      </c>
      <c r="BP10" s="11">
        <v>5</v>
      </c>
      <c r="BQ10" s="11">
        <v>45</v>
      </c>
      <c r="BR10" s="11">
        <v>1</v>
      </c>
      <c r="BS10" s="11">
        <v>17</v>
      </c>
      <c r="BT10" s="11">
        <v>0</v>
      </c>
      <c r="BU10" s="11">
        <v>0</v>
      </c>
      <c r="BV10" s="11">
        <v>0</v>
      </c>
      <c r="BW10" s="11">
        <v>2</v>
      </c>
      <c r="BX10" s="11">
        <v>3</v>
      </c>
      <c r="BY10" s="11">
        <v>0</v>
      </c>
      <c r="BZ10" s="11">
        <v>6</v>
      </c>
      <c r="CA10" s="11">
        <v>0</v>
      </c>
      <c r="CB10" s="11">
        <v>0</v>
      </c>
      <c r="CC10" s="11">
        <v>0</v>
      </c>
      <c r="CD10" s="11">
        <v>0</v>
      </c>
      <c r="CE10">
        <v>82</v>
      </c>
      <c r="CF10">
        <v>52</v>
      </c>
      <c r="CG10">
        <v>20</v>
      </c>
      <c r="CH10">
        <v>6</v>
      </c>
      <c r="CI10">
        <v>1</v>
      </c>
      <c r="CJ10" s="14">
        <v>0.72173913043478266</v>
      </c>
      <c r="CK10" s="14">
        <v>0.49397590361445781</v>
      </c>
      <c r="CL10" s="14">
        <v>0.31325301204819278</v>
      </c>
      <c r="CM10" s="14">
        <v>0.12048192771084337</v>
      </c>
      <c r="CN10" s="14">
        <v>3.614457831325301E-2</v>
      </c>
      <c r="CO10" s="14">
        <v>6.024096385542169E-3</v>
      </c>
      <c r="CP10" s="30">
        <v>3</v>
      </c>
      <c r="CQ10" s="15">
        <v>98</v>
      </c>
      <c r="CR10">
        <v>54</v>
      </c>
      <c r="CS10">
        <v>14</v>
      </c>
      <c r="CU10">
        <v>1</v>
      </c>
      <c r="CV10" s="14">
        <v>0.73529411764705888</v>
      </c>
      <c r="CW10" s="14">
        <v>0.56000000000000005</v>
      </c>
      <c r="CX10" s="14">
        <v>0.30857142857142855</v>
      </c>
      <c r="CY10" s="14">
        <v>0.08</v>
      </c>
      <c r="CZ10" s="14">
        <v>0</v>
      </c>
      <c r="DA10" s="14">
        <v>5.7142857142857143E-3</v>
      </c>
      <c r="DB10" s="30">
        <v>3</v>
      </c>
      <c r="DC10" s="14" t="s">
        <v>469</v>
      </c>
      <c r="DD10" s="17" t="s">
        <v>435</v>
      </c>
      <c r="DE10" s="17" t="s">
        <v>435</v>
      </c>
      <c r="DF10" s="17" t="s">
        <v>446</v>
      </c>
      <c r="DG10" s="21">
        <v>88.85</v>
      </c>
      <c r="DH10" s="16">
        <v>230</v>
      </c>
      <c r="DI10" s="16">
        <v>0</v>
      </c>
      <c r="DJ10" s="16">
        <v>166</v>
      </c>
      <c r="DK10" s="23">
        <v>0.72173913043478266</v>
      </c>
      <c r="DL10" s="16">
        <v>1</v>
      </c>
      <c r="DM10">
        <v>4</v>
      </c>
      <c r="DN10" s="25"/>
      <c r="DO10" s="25"/>
      <c r="DP10" s="25"/>
      <c r="DQ10" s="26"/>
      <c r="DR10" s="26"/>
    </row>
    <row r="11" spans="1:128" ht="14.25" customHeight="1">
      <c r="A11" s="2">
        <v>5315</v>
      </c>
      <c r="B11" s="3" t="s">
        <v>494</v>
      </c>
      <c r="C11" s="3" t="s">
        <v>495</v>
      </c>
      <c r="D11" s="4">
        <v>21</v>
      </c>
      <c r="E11" s="3" t="s">
        <v>17</v>
      </c>
      <c r="F11" s="3" t="s">
        <v>529</v>
      </c>
      <c r="G11" s="4" t="s">
        <v>530</v>
      </c>
      <c r="H11" s="4" t="b">
        <v>1</v>
      </c>
      <c r="I11" s="4" t="s">
        <v>16</v>
      </c>
      <c r="J11" s="5" t="s">
        <v>530</v>
      </c>
      <c r="K11" s="5" t="s">
        <v>495</v>
      </c>
      <c r="L11" s="5" t="s">
        <v>17</v>
      </c>
      <c r="M11" s="5" t="s">
        <v>531</v>
      </c>
      <c r="N11" s="2" t="s">
        <v>499</v>
      </c>
      <c r="O11" s="2" t="s">
        <v>500</v>
      </c>
      <c r="P11" s="2">
        <v>70629</v>
      </c>
      <c r="Q11" s="2" t="s">
        <v>501</v>
      </c>
      <c r="R11" s="2">
        <v>292</v>
      </c>
      <c r="S11" s="2">
        <v>216</v>
      </c>
      <c r="T11" s="2">
        <v>216</v>
      </c>
      <c r="U11" s="2">
        <v>3</v>
      </c>
      <c r="V11" s="2">
        <v>213</v>
      </c>
      <c r="W11" s="2">
        <v>92</v>
      </c>
      <c r="X11" s="2">
        <v>61</v>
      </c>
      <c r="Y11" s="2">
        <v>1</v>
      </c>
      <c r="Z11" s="2">
        <v>1</v>
      </c>
      <c r="AA11" s="2">
        <v>8</v>
      </c>
      <c r="AB11" s="2">
        <v>8</v>
      </c>
      <c r="AC11" s="2">
        <v>9</v>
      </c>
      <c r="AD11" s="2">
        <v>1</v>
      </c>
      <c r="AE11" s="2">
        <v>1</v>
      </c>
      <c r="AF11" s="2">
        <v>10</v>
      </c>
      <c r="AG11" s="2">
        <v>18</v>
      </c>
      <c r="AH11" s="2">
        <v>0</v>
      </c>
      <c r="AI11" s="2">
        <v>0</v>
      </c>
      <c r="AJ11" s="2">
        <v>1</v>
      </c>
      <c r="AK11" s="2">
        <v>0</v>
      </c>
      <c r="AL11" s="2">
        <v>1</v>
      </c>
      <c r="AM11" s="2">
        <v>1</v>
      </c>
      <c r="AN11" s="2">
        <v>0</v>
      </c>
      <c r="AO11" s="2">
        <v>0</v>
      </c>
      <c r="AP11" s="2">
        <v>292</v>
      </c>
      <c r="AQ11" s="2">
        <v>216</v>
      </c>
      <c r="AR11" s="2">
        <v>216</v>
      </c>
      <c r="AS11" s="2">
        <v>4</v>
      </c>
      <c r="AT11" s="2">
        <v>212</v>
      </c>
      <c r="AU11" s="2">
        <v>1</v>
      </c>
      <c r="AV11" s="2">
        <v>1</v>
      </c>
      <c r="AW11" s="2">
        <v>3</v>
      </c>
      <c r="AX11" s="2">
        <v>7</v>
      </c>
      <c r="AY11" s="2">
        <v>10</v>
      </c>
      <c r="AZ11" s="2">
        <v>152</v>
      </c>
      <c r="BA11" s="2">
        <v>18</v>
      </c>
      <c r="BB11" s="2">
        <v>20</v>
      </c>
      <c r="BC11" s="11" t="s">
        <v>499</v>
      </c>
      <c r="BD11" s="11" t="s">
        <v>502</v>
      </c>
      <c r="BE11" s="11">
        <v>70629</v>
      </c>
      <c r="BF11" s="11" t="s">
        <v>501</v>
      </c>
      <c r="BG11" s="11">
        <v>21</v>
      </c>
      <c r="BH11" s="11">
        <v>276</v>
      </c>
      <c r="BI11" s="11">
        <v>201</v>
      </c>
      <c r="BJ11" s="11">
        <v>201</v>
      </c>
      <c r="BK11" s="11">
        <v>0</v>
      </c>
      <c r="BL11" s="11">
        <v>201</v>
      </c>
      <c r="BM11" s="11">
        <v>116</v>
      </c>
      <c r="BN11" s="11">
        <v>30</v>
      </c>
      <c r="BO11" s="11">
        <v>0</v>
      </c>
      <c r="BP11" s="11">
        <v>9</v>
      </c>
      <c r="BQ11" s="11">
        <v>26</v>
      </c>
      <c r="BR11" s="11">
        <v>0</v>
      </c>
      <c r="BS11" s="11">
        <v>14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6</v>
      </c>
      <c r="CA11" s="11">
        <v>0</v>
      </c>
      <c r="CB11" s="11">
        <v>0</v>
      </c>
      <c r="CC11" s="11">
        <v>0</v>
      </c>
      <c r="CD11" s="11">
        <v>0</v>
      </c>
      <c r="CE11">
        <v>146</v>
      </c>
      <c r="CF11">
        <v>35</v>
      </c>
      <c r="CG11">
        <v>14</v>
      </c>
      <c r="CH11">
        <v>6</v>
      </c>
      <c r="CI11">
        <v>0</v>
      </c>
      <c r="CJ11" s="14">
        <v>0.72826086956521741</v>
      </c>
      <c r="CK11" s="14">
        <v>0.72636815920398012</v>
      </c>
      <c r="CL11" s="14">
        <v>0.17412935323383086</v>
      </c>
      <c r="CM11" s="14">
        <v>6.965174129353234E-2</v>
      </c>
      <c r="CN11" s="14">
        <v>2.9850746268656716E-2</v>
      </c>
      <c r="CO11" s="14">
        <v>0</v>
      </c>
      <c r="CP11" s="30">
        <v>3</v>
      </c>
      <c r="CQ11" s="15">
        <v>154</v>
      </c>
      <c r="CR11">
        <v>45</v>
      </c>
      <c r="CS11">
        <v>11</v>
      </c>
      <c r="CU11">
        <v>3</v>
      </c>
      <c r="CV11" s="14">
        <v>0.73972602739726023</v>
      </c>
      <c r="CW11" s="14">
        <v>0.71296296296296291</v>
      </c>
      <c r="CX11" s="14">
        <v>0.20833333333333334</v>
      </c>
      <c r="CY11" s="14">
        <v>5.0925925925925923E-2</v>
      </c>
      <c r="CZ11" s="14">
        <v>0</v>
      </c>
      <c r="DA11" s="14">
        <v>1.3888888888888888E-2</v>
      </c>
      <c r="DB11" s="30">
        <v>3</v>
      </c>
      <c r="DC11" s="14" t="s">
        <v>469</v>
      </c>
      <c r="DD11" s="17" t="s">
        <v>435</v>
      </c>
      <c r="DE11" s="17" t="s">
        <v>435</v>
      </c>
      <c r="DF11" s="17" t="s">
        <v>446</v>
      </c>
      <c r="DG11" s="21">
        <v>79.52000000000001</v>
      </c>
      <c r="DH11" s="16">
        <v>276</v>
      </c>
      <c r="DI11" s="16">
        <v>0</v>
      </c>
      <c r="DJ11" s="16">
        <v>201</v>
      </c>
      <c r="DK11" s="23">
        <v>0.72826086956521741</v>
      </c>
      <c r="DL11" s="16">
        <v>1</v>
      </c>
      <c r="DM11">
        <v>4</v>
      </c>
      <c r="DN11" s="25"/>
      <c r="DO11" s="25"/>
      <c r="DP11" s="25"/>
      <c r="DQ11" s="26"/>
      <c r="DR11" s="26"/>
    </row>
    <row r="12" spans="1:128" ht="14.25" customHeight="1">
      <c r="A12" s="2">
        <v>5317</v>
      </c>
      <c r="B12" s="3" t="s">
        <v>494</v>
      </c>
      <c r="C12" s="3" t="s">
        <v>495</v>
      </c>
      <c r="D12" s="4">
        <v>23</v>
      </c>
      <c r="E12" s="3" t="s">
        <v>532</v>
      </c>
      <c r="F12" s="3" t="s">
        <v>533</v>
      </c>
      <c r="G12" s="4" t="s">
        <v>534</v>
      </c>
      <c r="H12" s="4" t="b">
        <v>1</v>
      </c>
      <c r="I12" s="4" t="b">
        <v>1</v>
      </c>
      <c r="J12" s="5" t="s">
        <v>534</v>
      </c>
      <c r="K12" s="5" t="s">
        <v>495</v>
      </c>
      <c r="L12" s="5" t="s">
        <v>532</v>
      </c>
      <c r="M12" s="5" t="s">
        <v>533</v>
      </c>
      <c r="N12" s="2" t="s">
        <v>499</v>
      </c>
      <c r="O12" s="2" t="s">
        <v>500</v>
      </c>
      <c r="P12" s="2">
        <v>70629</v>
      </c>
      <c r="Q12" s="2" t="s">
        <v>501</v>
      </c>
      <c r="R12" s="2">
        <v>574</v>
      </c>
      <c r="S12" s="2">
        <v>364</v>
      </c>
      <c r="T12" s="2">
        <v>364</v>
      </c>
      <c r="U12" s="2">
        <v>27</v>
      </c>
      <c r="V12" s="2">
        <v>337</v>
      </c>
      <c r="W12" s="2">
        <v>158</v>
      </c>
      <c r="X12" s="2">
        <v>57</v>
      </c>
      <c r="Y12" s="2">
        <v>0</v>
      </c>
      <c r="Z12" s="2">
        <v>4</v>
      </c>
      <c r="AA12" s="2">
        <v>21</v>
      </c>
      <c r="AB12" s="2">
        <v>19</v>
      </c>
      <c r="AC12" s="2">
        <v>26</v>
      </c>
      <c r="AD12" s="2">
        <v>4</v>
      </c>
      <c r="AE12" s="2">
        <v>13</v>
      </c>
      <c r="AF12" s="2">
        <v>14</v>
      </c>
      <c r="AG12" s="2">
        <v>18</v>
      </c>
      <c r="AH12" s="2">
        <v>0</v>
      </c>
      <c r="AI12" s="2">
        <v>0</v>
      </c>
      <c r="AJ12" s="2">
        <v>2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574</v>
      </c>
      <c r="AQ12" s="2">
        <v>364</v>
      </c>
      <c r="AR12" s="2">
        <v>364</v>
      </c>
      <c r="AS12" s="2">
        <v>21</v>
      </c>
      <c r="AT12" s="2">
        <v>343</v>
      </c>
      <c r="AU12" s="2">
        <v>0</v>
      </c>
      <c r="AV12" s="2">
        <v>11</v>
      </c>
      <c r="AW12" s="2">
        <v>9</v>
      </c>
      <c r="AX12" s="2">
        <v>26</v>
      </c>
      <c r="AY12" s="2">
        <v>27</v>
      </c>
      <c r="AZ12" s="2">
        <v>220</v>
      </c>
      <c r="BA12" s="2">
        <v>28</v>
      </c>
      <c r="BB12" s="2">
        <v>22</v>
      </c>
      <c r="BC12" s="11" t="s">
        <v>499</v>
      </c>
      <c r="BD12" s="11" t="s">
        <v>502</v>
      </c>
      <c r="BE12" s="11">
        <v>70629</v>
      </c>
      <c r="BF12" s="11" t="s">
        <v>501</v>
      </c>
      <c r="BG12" s="11">
        <v>23</v>
      </c>
      <c r="BH12" s="11">
        <v>575</v>
      </c>
      <c r="BI12" s="11">
        <v>379</v>
      </c>
      <c r="BJ12" s="11">
        <v>379</v>
      </c>
      <c r="BK12" s="11">
        <v>13</v>
      </c>
      <c r="BL12" s="11">
        <v>366</v>
      </c>
      <c r="BM12" s="11">
        <v>165</v>
      </c>
      <c r="BN12" s="11">
        <v>46</v>
      </c>
      <c r="BO12" s="11">
        <v>5</v>
      </c>
      <c r="BP12" s="11">
        <v>30</v>
      </c>
      <c r="BQ12" s="11">
        <v>34</v>
      </c>
      <c r="BR12" s="11">
        <v>0</v>
      </c>
      <c r="BS12" s="11">
        <v>65</v>
      </c>
      <c r="BT12" s="11">
        <v>2</v>
      </c>
      <c r="BU12" s="11">
        <v>0</v>
      </c>
      <c r="BV12" s="11">
        <v>0</v>
      </c>
      <c r="BW12" s="11">
        <v>1</v>
      </c>
      <c r="BX12" s="11">
        <v>5</v>
      </c>
      <c r="BY12" s="11">
        <v>0</v>
      </c>
      <c r="BZ12" s="11">
        <v>12</v>
      </c>
      <c r="CA12" s="11">
        <v>0</v>
      </c>
      <c r="CB12" s="11">
        <v>0</v>
      </c>
      <c r="CC12" s="11">
        <v>1</v>
      </c>
      <c r="CD12" s="11">
        <v>0</v>
      </c>
      <c r="CE12">
        <v>216</v>
      </c>
      <c r="CF12">
        <v>65</v>
      </c>
      <c r="CG12">
        <v>71</v>
      </c>
      <c r="CH12">
        <v>12</v>
      </c>
      <c r="CI12">
        <v>2</v>
      </c>
      <c r="CJ12" s="14">
        <v>0.65913043478260869</v>
      </c>
      <c r="CK12" s="14">
        <v>0.56992084432717682</v>
      </c>
      <c r="CL12" s="14">
        <v>0.17150395778364116</v>
      </c>
      <c r="CM12" s="14">
        <v>0.18733509234828497</v>
      </c>
      <c r="CN12" s="14">
        <v>3.1662269129287601E-2</v>
      </c>
      <c r="CO12" s="14">
        <v>5.2770448548812663E-3</v>
      </c>
      <c r="CP12" s="30">
        <v>3</v>
      </c>
      <c r="CQ12" s="15">
        <v>219</v>
      </c>
      <c r="CR12">
        <v>77</v>
      </c>
      <c r="CS12">
        <v>37</v>
      </c>
      <c r="CU12">
        <v>4</v>
      </c>
      <c r="CV12" s="14">
        <v>0.63414634146341464</v>
      </c>
      <c r="CW12" s="14">
        <v>0.60164835164835162</v>
      </c>
      <c r="CX12" s="14">
        <v>0.21153846153846154</v>
      </c>
      <c r="CY12" s="14">
        <v>0.10164835164835165</v>
      </c>
      <c r="CZ12" s="14">
        <v>0</v>
      </c>
      <c r="DA12" s="14">
        <v>1.098901098901099E-2</v>
      </c>
      <c r="DB12" s="30">
        <v>3</v>
      </c>
      <c r="DC12" s="14" t="s">
        <v>469</v>
      </c>
      <c r="DD12" s="17" t="s">
        <v>435</v>
      </c>
      <c r="DE12" s="17" t="s">
        <v>435</v>
      </c>
      <c r="DF12" s="17" t="s">
        <v>446</v>
      </c>
      <c r="DG12" s="21">
        <v>203.49</v>
      </c>
      <c r="DH12" s="16">
        <v>575</v>
      </c>
      <c r="DI12" s="16">
        <v>0</v>
      </c>
      <c r="DJ12" s="16">
        <v>379</v>
      </c>
      <c r="DK12" s="23">
        <v>0.65913043478260869</v>
      </c>
      <c r="DL12" s="16">
        <v>1</v>
      </c>
      <c r="DM12">
        <v>4</v>
      </c>
      <c r="DN12" s="25"/>
      <c r="DO12" s="25"/>
      <c r="DP12" s="25"/>
      <c r="DQ12" s="26"/>
      <c r="DR12" s="26"/>
    </row>
    <row r="13" spans="1:128" ht="14.25" customHeight="1">
      <c r="A13" s="2">
        <v>5318</v>
      </c>
      <c r="B13" s="3" t="s">
        <v>494</v>
      </c>
      <c r="C13" s="3" t="s">
        <v>495</v>
      </c>
      <c r="D13" s="4">
        <v>24</v>
      </c>
      <c r="E13" s="3" t="s">
        <v>535</v>
      </c>
      <c r="F13" s="3" t="s">
        <v>536</v>
      </c>
      <c r="G13" s="4" t="s">
        <v>537</v>
      </c>
      <c r="H13" s="4" t="b">
        <v>1</v>
      </c>
      <c r="I13" s="4" t="b">
        <v>1</v>
      </c>
      <c r="J13" s="5" t="s">
        <v>537</v>
      </c>
      <c r="K13" s="5" t="s">
        <v>495</v>
      </c>
      <c r="L13" s="5" t="s">
        <v>535</v>
      </c>
      <c r="M13" s="5" t="s">
        <v>536</v>
      </c>
      <c r="N13" s="2" t="s">
        <v>499</v>
      </c>
      <c r="O13" s="2" t="s">
        <v>500</v>
      </c>
      <c r="P13" s="2">
        <v>70629</v>
      </c>
      <c r="Q13" s="2" t="s">
        <v>501</v>
      </c>
      <c r="R13" s="2">
        <v>480</v>
      </c>
      <c r="S13" s="2">
        <v>332</v>
      </c>
      <c r="T13" s="2">
        <v>332</v>
      </c>
      <c r="U13" s="2">
        <v>5</v>
      </c>
      <c r="V13" s="2">
        <v>327</v>
      </c>
      <c r="W13" s="2">
        <v>141</v>
      </c>
      <c r="X13" s="2">
        <v>39</v>
      </c>
      <c r="Y13" s="2">
        <v>0</v>
      </c>
      <c r="Z13" s="2">
        <v>3</v>
      </c>
      <c r="AA13" s="2">
        <v>51</v>
      </c>
      <c r="AB13" s="2">
        <v>20</v>
      </c>
      <c r="AC13" s="2">
        <v>15</v>
      </c>
      <c r="AD13" s="2">
        <v>0</v>
      </c>
      <c r="AE13" s="2">
        <v>12</v>
      </c>
      <c r="AF13" s="2">
        <v>13</v>
      </c>
      <c r="AG13" s="2">
        <v>21</v>
      </c>
      <c r="AH13" s="2">
        <v>0</v>
      </c>
      <c r="AI13" s="2">
        <v>0</v>
      </c>
      <c r="AJ13" s="2">
        <v>5</v>
      </c>
      <c r="AK13" s="2">
        <v>0</v>
      </c>
      <c r="AL13" s="2">
        <v>0</v>
      </c>
      <c r="AM13" s="2">
        <v>7</v>
      </c>
      <c r="AN13" s="2">
        <v>0</v>
      </c>
      <c r="AO13" s="2">
        <v>0</v>
      </c>
      <c r="AP13" s="2">
        <v>480</v>
      </c>
      <c r="AQ13" s="2">
        <v>332</v>
      </c>
      <c r="AR13" s="2">
        <v>332</v>
      </c>
      <c r="AS13" s="2">
        <v>4</v>
      </c>
      <c r="AT13" s="2">
        <v>328</v>
      </c>
      <c r="AU13" s="2">
        <v>2</v>
      </c>
      <c r="AV13" s="2">
        <v>10</v>
      </c>
      <c r="AW13" s="2">
        <v>8</v>
      </c>
      <c r="AX13" s="2">
        <v>64</v>
      </c>
      <c r="AY13" s="2">
        <v>18</v>
      </c>
      <c r="AZ13" s="2">
        <v>169</v>
      </c>
      <c r="BA13" s="2">
        <v>35</v>
      </c>
      <c r="BB13" s="2">
        <v>22</v>
      </c>
      <c r="BC13" s="11" t="s">
        <v>499</v>
      </c>
      <c r="BD13" s="11" t="s">
        <v>502</v>
      </c>
      <c r="BE13" s="11">
        <v>70629</v>
      </c>
      <c r="BF13" s="11" t="s">
        <v>501</v>
      </c>
      <c r="BG13" s="11">
        <v>24</v>
      </c>
      <c r="BH13" s="11">
        <v>505</v>
      </c>
      <c r="BI13" s="11">
        <v>355</v>
      </c>
      <c r="BJ13" s="11">
        <v>354</v>
      </c>
      <c r="BK13" s="11">
        <v>8</v>
      </c>
      <c r="BL13" s="11">
        <v>346</v>
      </c>
      <c r="BM13" s="11">
        <v>156</v>
      </c>
      <c r="BN13" s="11">
        <v>28</v>
      </c>
      <c r="BO13" s="11">
        <v>2</v>
      </c>
      <c r="BP13" s="11">
        <v>11</v>
      </c>
      <c r="BQ13" s="11">
        <v>30</v>
      </c>
      <c r="BR13" s="11">
        <v>0</v>
      </c>
      <c r="BS13" s="11">
        <v>98</v>
      </c>
      <c r="BT13" s="11">
        <v>1</v>
      </c>
      <c r="BU13" s="11">
        <v>0</v>
      </c>
      <c r="BV13" s="11">
        <v>0</v>
      </c>
      <c r="BW13" s="11">
        <v>3</v>
      </c>
      <c r="BX13" s="11">
        <v>0</v>
      </c>
      <c r="BY13" s="11">
        <v>0</v>
      </c>
      <c r="BZ13" s="11">
        <v>12</v>
      </c>
      <c r="CA13" s="11">
        <v>0</v>
      </c>
      <c r="CB13" s="11">
        <v>1</v>
      </c>
      <c r="CC13" s="11">
        <v>3</v>
      </c>
      <c r="CD13" s="11">
        <v>1</v>
      </c>
      <c r="CE13">
        <v>186</v>
      </c>
      <c r="CF13">
        <v>44</v>
      </c>
      <c r="CG13">
        <v>101</v>
      </c>
      <c r="CH13">
        <v>12</v>
      </c>
      <c r="CI13">
        <v>3</v>
      </c>
      <c r="CJ13" s="14">
        <v>0.70297029702970293</v>
      </c>
      <c r="CK13" s="14">
        <v>0.52394366197183095</v>
      </c>
      <c r="CL13" s="14">
        <v>0.12394366197183099</v>
      </c>
      <c r="CM13" s="14">
        <v>0.28450704225352114</v>
      </c>
      <c r="CN13" s="14">
        <v>3.3802816901408447E-2</v>
      </c>
      <c r="CO13" s="14">
        <v>8.4507042253521118E-3</v>
      </c>
      <c r="CP13" s="30">
        <v>3</v>
      </c>
      <c r="CQ13" s="15">
        <v>183</v>
      </c>
      <c r="CR13">
        <v>69</v>
      </c>
      <c r="CS13">
        <v>75</v>
      </c>
      <c r="CU13">
        <v>0</v>
      </c>
      <c r="CV13" s="14">
        <v>0.69166666666666665</v>
      </c>
      <c r="CW13" s="14">
        <v>0.5512048192771084</v>
      </c>
      <c r="CX13" s="14">
        <v>0.20783132530120482</v>
      </c>
      <c r="CY13" s="14">
        <v>0.22590361445783133</v>
      </c>
      <c r="CZ13" s="14">
        <v>0</v>
      </c>
      <c r="DA13" s="14">
        <v>0</v>
      </c>
      <c r="DB13" s="30">
        <v>3</v>
      </c>
      <c r="DC13" s="14" t="s">
        <v>469</v>
      </c>
      <c r="DD13" s="17" t="s">
        <v>435</v>
      </c>
      <c r="DE13" s="17" t="s">
        <v>435</v>
      </c>
      <c r="DF13" s="17" t="s">
        <v>446</v>
      </c>
      <c r="DG13" s="21">
        <v>198.64</v>
      </c>
      <c r="DH13" s="16">
        <v>505</v>
      </c>
      <c r="DI13" s="16">
        <v>0</v>
      </c>
      <c r="DJ13" s="16">
        <v>354</v>
      </c>
      <c r="DK13" s="23">
        <v>0.70099009900990095</v>
      </c>
      <c r="DL13" s="16">
        <v>1</v>
      </c>
      <c r="DM13">
        <v>4</v>
      </c>
      <c r="DN13" s="25"/>
      <c r="DO13" s="25"/>
      <c r="DP13" s="25"/>
      <c r="DQ13" s="26"/>
      <c r="DR13" s="26"/>
    </row>
    <row r="14" spans="1:128" ht="14.25" customHeight="1">
      <c r="A14" s="2">
        <v>5321</v>
      </c>
      <c r="B14" s="3" t="s">
        <v>494</v>
      </c>
      <c r="C14" s="3" t="s">
        <v>495</v>
      </c>
      <c r="D14" s="4">
        <v>27</v>
      </c>
      <c r="E14" s="3" t="s">
        <v>17</v>
      </c>
      <c r="F14" s="3" t="s">
        <v>538</v>
      </c>
      <c r="G14" s="4" t="s">
        <v>539</v>
      </c>
      <c r="H14" s="4" t="b">
        <v>1</v>
      </c>
      <c r="I14" s="4" t="b">
        <v>1</v>
      </c>
      <c r="J14" s="5" t="s">
        <v>539</v>
      </c>
      <c r="K14" s="5" t="s">
        <v>495</v>
      </c>
      <c r="L14" s="5" t="s">
        <v>17</v>
      </c>
      <c r="M14" s="5" t="s">
        <v>538</v>
      </c>
      <c r="N14" s="2" t="s">
        <v>499</v>
      </c>
      <c r="O14" s="2" t="s">
        <v>500</v>
      </c>
      <c r="P14" s="2">
        <v>70629</v>
      </c>
      <c r="Q14" s="2" t="s">
        <v>501</v>
      </c>
      <c r="R14" s="2">
        <v>557</v>
      </c>
      <c r="S14" s="2">
        <v>380</v>
      </c>
      <c r="T14" s="2">
        <v>379</v>
      </c>
      <c r="U14" s="2">
        <v>13</v>
      </c>
      <c r="V14" s="2">
        <v>366</v>
      </c>
      <c r="W14" s="2">
        <v>142</v>
      </c>
      <c r="X14" s="2">
        <v>57</v>
      </c>
      <c r="Y14" s="2">
        <v>0</v>
      </c>
      <c r="Z14" s="2">
        <v>7</v>
      </c>
      <c r="AA14" s="2">
        <v>56</v>
      </c>
      <c r="AB14" s="2">
        <v>35</v>
      </c>
      <c r="AC14" s="2">
        <v>13</v>
      </c>
      <c r="AD14" s="2">
        <v>0</v>
      </c>
      <c r="AE14" s="2">
        <v>15</v>
      </c>
      <c r="AF14" s="2">
        <v>12</v>
      </c>
      <c r="AG14" s="2">
        <v>16</v>
      </c>
      <c r="AH14" s="2">
        <v>0</v>
      </c>
      <c r="AI14" s="2">
        <v>1</v>
      </c>
      <c r="AJ14" s="2">
        <v>8</v>
      </c>
      <c r="AK14" s="2">
        <v>0</v>
      </c>
      <c r="AL14" s="2">
        <v>0</v>
      </c>
      <c r="AM14" s="2">
        <v>3</v>
      </c>
      <c r="AN14" s="2">
        <v>1</v>
      </c>
      <c r="AO14" s="2">
        <v>0</v>
      </c>
      <c r="AP14" s="2">
        <v>557</v>
      </c>
      <c r="AQ14" s="2">
        <v>380</v>
      </c>
      <c r="AR14" s="2">
        <v>380</v>
      </c>
      <c r="AS14" s="2">
        <v>11</v>
      </c>
      <c r="AT14" s="2">
        <v>369</v>
      </c>
      <c r="AU14" s="2">
        <v>2</v>
      </c>
      <c r="AV14" s="2">
        <v>13</v>
      </c>
      <c r="AW14" s="2">
        <v>5</v>
      </c>
      <c r="AX14" s="2">
        <v>73</v>
      </c>
      <c r="AY14" s="2">
        <v>15</v>
      </c>
      <c r="AZ14" s="2">
        <v>208</v>
      </c>
      <c r="BA14" s="2">
        <v>39</v>
      </c>
      <c r="BB14" s="2">
        <v>14</v>
      </c>
      <c r="BC14" s="11" t="s">
        <v>499</v>
      </c>
      <c r="BD14" s="11" t="s">
        <v>502</v>
      </c>
      <c r="BE14" s="11">
        <v>70629</v>
      </c>
      <c r="BF14" s="11" t="s">
        <v>501</v>
      </c>
      <c r="BG14" s="11">
        <v>27</v>
      </c>
      <c r="BH14" s="11">
        <v>563</v>
      </c>
      <c r="BI14" s="11">
        <v>412</v>
      </c>
      <c r="BJ14" s="11">
        <v>412</v>
      </c>
      <c r="BK14" s="11">
        <v>8</v>
      </c>
      <c r="BL14" s="11">
        <v>404</v>
      </c>
      <c r="BM14" s="11">
        <v>182</v>
      </c>
      <c r="BN14" s="11">
        <v>32</v>
      </c>
      <c r="BO14" s="11">
        <v>2</v>
      </c>
      <c r="BP14" s="11">
        <v>10</v>
      </c>
      <c r="BQ14" s="11">
        <v>39</v>
      </c>
      <c r="BR14" s="11">
        <v>0</v>
      </c>
      <c r="BS14" s="11">
        <v>121</v>
      </c>
      <c r="BT14" s="11">
        <v>0</v>
      </c>
      <c r="BU14" s="11">
        <v>0</v>
      </c>
      <c r="BV14" s="11">
        <v>0</v>
      </c>
      <c r="BW14" s="11">
        <v>3</v>
      </c>
      <c r="BX14" s="11">
        <v>1</v>
      </c>
      <c r="BY14" s="11">
        <v>0</v>
      </c>
      <c r="BZ14" s="11">
        <v>14</v>
      </c>
      <c r="CA14" s="11">
        <v>0</v>
      </c>
      <c r="CB14" s="11">
        <v>0</v>
      </c>
      <c r="CC14" s="11">
        <v>0</v>
      </c>
      <c r="CD14" s="11">
        <v>0</v>
      </c>
      <c r="CE14">
        <v>216</v>
      </c>
      <c r="CF14">
        <v>52</v>
      </c>
      <c r="CG14">
        <v>122</v>
      </c>
      <c r="CH14">
        <v>14</v>
      </c>
      <c r="CI14">
        <v>0</v>
      </c>
      <c r="CJ14" s="14">
        <v>0.73179396092362348</v>
      </c>
      <c r="CK14" s="14">
        <v>0.52427184466019416</v>
      </c>
      <c r="CL14" s="14">
        <v>0.12621359223300971</v>
      </c>
      <c r="CM14" s="14">
        <v>0.29611650485436891</v>
      </c>
      <c r="CN14" s="14">
        <v>3.3980582524271843E-2</v>
      </c>
      <c r="CO14" s="14">
        <v>0</v>
      </c>
      <c r="CP14" s="30">
        <v>3</v>
      </c>
      <c r="CQ14" s="15">
        <v>206</v>
      </c>
      <c r="CR14">
        <v>76</v>
      </c>
      <c r="CS14">
        <v>82</v>
      </c>
      <c r="CU14">
        <v>2</v>
      </c>
      <c r="CV14" s="14">
        <v>0.68222621184919208</v>
      </c>
      <c r="CW14" s="14">
        <v>0.54210526315789476</v>
      </c>
      <c r="CX14" s="14">
        <v>0.2</v>
      </c>
      <c r="CY14" s="14">
        <v>0.21578947368421053</v>
      </c>
      <c r="CZ14" s="14">
        <v>0</v>
      </c>
      <c r="DA14" s="14">
        <v>5.263157894736842E-3</v>
      </c>
      <c r="DB14" s="30">
        <v>3</v>
      </c>
      <c r="DC14" s="14" t="s">
        <v>469</v>
      </c>
      <c r="DD14" s="17" t="s">
        <v>435</v>
      </c>
      <c r="DE14" s="17" t="s">
        <v>435</v>
      </c>
      <c r="DF14" s="17" t="s">
        <v>446</v>
      </c>
      <c r="DG14" s="21">
        <v>226.93</v>
      </c>
      <c r="DH14" s="16">
        <v>563</v>
      </c>
      <c r="DI14" s="16">
        <v>0</v>
      </c>
      <c r="DJ14" s="16">
        <v>412</v>
      </c>
      <c r="DK14" s="23">
        <v>0.73179396092362348</v>
      </c>
      <c r="DL14" s="16">
        <v>1</v>
      </c>
      <c r="DM14">
        <v>4</v>
      </c>
      <c r="DN14" s="25"/>
      <c r="DO14" s="25"/>
      <c r="DP14" s="25"/>
      <c r="DQ14" s="26"/>
      <c r="DR14" s="26"/>
    </row>
    <row r="15" spans="1:128" ht="14.25" customHeight="1">
      <c r="A15" s="2">
        <v>5302</v>
      </c>
      <c r="B15" s="3" t="s">
        <v>494</v>
      </c>
      <c r="C15" s="3" t="s">
        <v>495</v>
      </c>
      <c r="D15" s="4">
        <v>8</v>
      </c>
      <c r="E15" s="3" t="s">
        <v>540</v>
      </c>
      <c r="F15" s="3" t="s">
        <v>541</v>
      </c>
      <c r="G15" s="4" t="s">
        <v>542</v>
      </c>
      <c r="H15" s="4" t="b">
        <v>1</v>
      </c>
      <c r="I15" s="4" t="s">
        <v>16</v>
      </c>
      <c r="J15" s="5" t="s">
        <v>542</v>
      </c>
      <c r="K15" s="5" t="s">
        <v>495</v>
      </c>
      <c r="L15" s="5" t="s">
        <v>540</v>
      </c>
      <c r="M15" s="5" t="s">
        <v>543</v>
      </c>
      <c r="N15" s="2" t="s">
        <v>499</v>
      </c>
      <c r="O15" s="2" t="s">
        <v>500</v>
      </c>
      <c r="P15" s="2">
        <v>70629</v>
      </c>
      <c r="Q15" s="2" t="s">
        <v>501</v>
      </c>
      <c r="R15" s="2">
        <v>109</v>
      </c>
      <c r="S15" s="2">
        <v>78</v>
      </c>
      <c r="T15" s="2">
        <v>78</v>
      </c>
      <c r="U15" s="2">
        <v>0</v>
      </c>
      <c r="V15" s="2">
        <v>78</v>
      </c>
      <c r="W15" s="2">
        <v>30</v>
      </c>
      <c r="X15" s="2">
        <v>17</v>
      </c>
      <c r="Y15" s="2">
        <v>0</v>
      </c>
      <c r="Z15" s="2">
        <v>1</v>
      </c>
      <c r="AA15" s="2">
        <v>11</v>
      </c>
      <c r="AB15" s="2">
        <v>7</v>
      </c>
      <c r="AC15" s="2">
        <v>6</v>
      </c>
      <c r="AD15" s="2">
        <v>0</v>
      </c>
      <c r="AE15" s="2">
        <v>0</v>
      </c>
      <c r="AF15" s="2">
        <v>3</v>
      </c>
      <c r="AG15" s="2">
        <v>3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109</v>
      </c>
      <c r="AQ15" s="2">
        <v>78</v>
      </c>
      <c r="AR15" s="2">
        <v>78</v>
      </c>
      <c r="AS15" s="2">
        <v>1</v>
      </c>
      <c r="AT15" s="2">
        <v>77</v>
      </c>
      <c r="AU15" s="2">
        <v>1</v>
      </c>
      <c r="AV15" s="2">
        <v>0</v>
      </c>
      <c r="AW15" s="2">
        <v>2</v>
      </c>
      <c r="AX15" s="2">
        <v>16</v>
      </c>
      <c r="AY15" s="2">
        <v>2</v>
      </c>
      <c r="AZ15" s="2">
        <v>43</v>
      </c>
      <c r="BA15" s="2">
        <v>10</v>
      </c>
      <c r="BB15" s="2">
        <v>3</v>
      </c>
      <c r="BC15" s="11" t="s">
        <v>499</v>
      </c>
      <c r="BD15" s="11" t="s">
        <v>502</v>
      </c>
      <c r="BE15" s="11">
        <v>70629</v>
      </c>
      <c r="BF15" s="11" t="s">
        <v>501</v>
      </c>
      <c r="BG15" s="11">
        <v>8</v>
      </c>
      <c r="BH15" s="11">
        <v>109</v>
      </c>
      <c r="BI15" s="11">
        <v>75</v>
      </c>
      <c r="BJ15" s="11">
        <v>75</v>
      </c>
      <c r="BK15" s="11">
        <v>2</v>
      </c>
      <c r="BL15" s="11">
        <v>73</v>
      </c>
      <c r="BM15" s="11">
        <v>25</v>
      </c>
      <c r="BN15" s="11">
        <v>9</v>
      </c>
      <c r="BO15" s="11">
        <v>1</v>
      </c>
      <c r="BP15" s="11">
        <v>3</v>
      </c>
      <c r="BQ15" s="11">
        <v>8</v>
      </c>
      <c r="BR15" s="11">
        <v>0</v>
      </c>
      <c r="BS15" s="11">
        <v>26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1</v>
      </c>
      <c r="CA15" s="11">
        <v>0</v>
      </c>
      <c r="CB15" s="11">
        <v>0</v>
      </c>
      <c r="CC15" s="11">
        <v>0</v>
      </c>
      <c r="CD15" s="11">
        <v>0</v>
      </c>
      <c r="CE15">
        <v>35</v>
      </c>
      <c r="CF15">
        <v>11</v>
      </c>
      <c r="CG15">
        <v>26</v>
      </c>
      <c r="CH15">
        <v>1</v>
      </c>
      <c r="CI15">
        <v>0</v>
      </c>
      <c r="CJ15" s="14">
        <v>0.68807339449541283</v>
      </c>
      <c r="CK15" s="14">
        <v>0.46666666666666667</v>
      </c>
      <c r="CL15" s="14">
        <v>0.14666666666666667</v>
      </c>
      <c r="CM15" s="14">
        <v>0.34666666666666668</v>
      </c>
      <c r="CN15" s="14">
        <v>1.3333333333333334E-2</v>
      </c>
      <c r="CO15" s="14">
        <v>0</v>
      </c>
      <c r="CP15" s="30">
        <v>2</v>
      </c>
      <c r="CQ15" s="15">
        <v>48</v>
      </c>
      <c r="CR15">
        <v>19</v>
      </c>
      <c r="CS15">
        <v>11</v>
      </c>
      <c r="CU15">
        <v>0</v>
      </c>
      <c r="CV15" s="14">
        <v>0.7155963302752294</v>
      </c>
      <c r="CW15" s="14">
        <v>0.61538461538461542</v>
      </c>
      <c r="CX15" s="14">
        <v>0.24358974358974358</v>
      </c>
      <c r="CY15" s="14">
        <v>0.14102564102564102</v>
      </c>
      <c r="CZ15" s="14">
        <v>0</v>
      </c>
      <c r="DA15" s="14">
        <v>0</v>
      </c>
      <c r="DB15" s="30">
        <v>3</v>
      </c>
      <c r="DC15" s="14" t="s">
        <v>470</v>
      </c>
      <c r="DD15" s="17" t="s">
        <v>434</v>
      </c>
      <c r="DE15" s="17" t="s">
        <v>435</v>
      </c>
      <c r="DF15" s="17" t="s">
        <v>450</v>
      </c>
      <c r="DG15" s="21">
        <v>47.309999999999995</v>
      </c>
      <c r="DH15" s="16">
        <v>109</v>
      </c>
      <c r="DI15" s="16">
        <v>0</v>
      </c>
      <c r="DJ15" s="16">
        <v>75</v>
      </c>
      <c r="DK15" s="23">
        <v>0.68807339449541283</v>
      </c>
      <c r="DL15" s="16">
        <v>1</v>
      </c>
      <c r="DM15">
        <v>3</v>
      </c>
      <c r="DN15" s="25"/>
      <c r="DO15" s="25"/>
      <c r="DP15" s="25"/>
      <c r="DQ15" s="26"/>
      <c r="DR15" s="26"/>
    </row>
    <row r="16" spans="1:128" ht="14.25" customHeight="1">
      <c r="A16" s="2">
        <v>5319</v>
      </c>
      <c r="B16" s="3" t="s">
        <v>494</v>
      </c>
      <c r="C16" s="3" t="s">
        <v>495</v>
      </c>
      <c r="D16" s="4">
        <v>25</v>
      </c>
      <c r="E16" s="3" t="s">
        <v>544</v>
      </c>
      <c r="F16" s="3" t="s">
        <v>545</v>
      </c>
      <c r="G16" s="4" t="s">
        <v>546</v>
      </c>
      <c r="H16" s="4" t="b">
        <v>1</v>
      </c>
      <c r="I16" s="4" t="b">
        <v>1</v>
      </c>
      <c r="J16" s="5" t="s">
        <v>546</v>
      </c>
      <c r="K16" s="5" t="s">
        <v>495</v>
      </c>
      <c r="L16" s="5" t="s">
        <v>544</v>
      </c>
      <c r="M16" s="5" t="s">
        <v>545</v>
      </c>
      <c r="N16" s="2" t="s">
        <v>499</v>
      </c>
      <c r="O16" s="2" t="s">
        <v>500</v>
      </c>
      <c r="P16" s="2">
        <v>70629</v>
      </c>
      <c r="Q16" s="2" t="s">
        <v>501</v>
      </c>
      <c r="R16" s="2">
        <v>532</v>
      </c>
      <c r="S16" s="2">
        <v>347</v>
      </c>
      <c r="T16" s="2">
        <v>346</v>
      </c>
      <c r="U16" s="2">
        <v>8</v>
      </c>
      <c r="V16" s="2">
        <v>338</v>
      </c>
      <c r="W16" s="2">
        <v>115</v>
      </c>
      <c r="X16" s="2">
        <v>49</v>
      </c>
      <c r="Y16" s="2">
        <v>0</v>
      </c>
      <c r="Z16" s="2">
        <v>6</v>
      </c>
      <c r="AA16" s="2">
        <v>49</v>
      </c>
      <c r="AB16" s="2">
        <v>42</v>
      </c>
      <c r="AC16" s="2">
        <v>12</v>
      </c>
      <c r="AD16" s="2">
        <v>1</v>
      </c>
      <c r="AE16" s="2">
        <v>23</v>
      </c>
      <c r="AF16" s="2">
        <v>9</v>
      </c>
      <c r="AG16" s="2">
        <v>22</v>
      </c>
      <c r="AH16" s="2">
        <v>0</v>
      </c>
      <c r="AI16" s="2">
        <v>0</v>
      </c>
      <c r="AJ16" s="2">
        <v>5</v>
      </c>
      <c r="AK16" s="2">
        <v>0</v>
      </c>
      <c r="AL16" s="2">
        <v>0</v>
      </c>
      <c r="AM16" s="2">
        <v>1</v>
      </c>
      <c r="AN16" s="2">
        <v>0</v>
      </c>
      <c r="AO16" s="2">
        <v>4</v>
      </c>
      <c r="AP16" s="2">
        <v>532</v>
      </c>
      <c r="AQ16" s="2">
        <v>347</v>
      </c>
      <c r="AR16" s="2">
        <v>346</v>
      </c>
      <c r="AS16" s="2">
        <v>11</v>
      </c>
      <c r="AT16" s="2">
        <v>335</v>
      </c>
      <c r="AU16" s="2">
        <v>2</v>
      </c>
      <c r="AV16" s="2">
        <v>17</v>
      </c>
      <c r="AW16" s="2">
        <v>10</v>
      </c>
      <c r="AX16" s="2">
        <v>64</v>
      </c>
      <c r="AY16" s="2">
        <v>21</v>
      </c>
      <c r="AZ16" s="2">
        <v>154</v>
      </c>
      <c r="BA16" s="2">
        <v>48</v>
      </c>
      <c r="BB16" s="2">
        <v>19</v>
      </c>
      <c r="BC16" s="11" t="s">
        <v>499</v>
      </c>
      <c r="BD16" s="11" t="s">
        <v>502</v>
      </c>
      <c r="BE16" s="11">
        <v>70629</v>
      </c>
      <c r="BF16" s="11" t="s">
        <v>501</v>
      </c>
      <c r="BG16" s="11">
        <v>25</v>
      </c>
      <c r="BH16" s="11">
        <v>503</v>
      </c>
      <c r="BI16" s="11">
        <v>330</v>
      </c>
      <c r="BJ16" s="11">
        <v>330</v>
      </c>
      <c r="BK16" s="11">
        <v>7</v>
      </c>
      <c r="BL16" s="11">
        <v>323</v>
      </c>
      <c r="BM16" s="11">
        <v>126</v>
      </c>
      <c r="BN16" s="11">
        <v>20</v>
      </c>
      <c r="BO16" s="11">
        <v>6</v>
      </c>
      <c r="BP16" s="11">
        <v>9</v>
      </c>
      <c r="BQ16" s="11">
        <v>29</v>
      </c>
      <c r="BR16" s="11">
        <v>0</v>
      </c>
      <c r="BS16" s="11">
        <v>110</v>
      </c>
      <c r="BT16" s="11">
        <v>0</v>
      </c>
      <c r="BU16" s="11">
        <v>0</v>
      </c>
      <c r="BV16" s="11">
        <v>1</v>
      </c>
      <c r="BW16" s="11">
        <v>7</v>
      </c>
      <c r="BX16" s="11">
        <v>1</v>
      </c>
      <c r="BY16" s="11">
        <v>1</v>
      </c>
      <c r="BZ16" s="11">
        <v>13</v>
      </c>
      <c r="CA16" s="11">
        <v>0</v>
      </c>
      <c r="CB16" s="11">
        <v>0</v>
      </c>
      <c r="CC16" s="11">
        <v>0</v>
      </c>
      <c r="CD16" s="11">
        <v>0</v>
      </c>
      <c r="CE16">
        <v>152</v>
      </c>
      <c r="CF16">
        <v>45</v>
      </c>
      <c r="CG16">
        <v>111</v>
      </c>
      <c r="CH16">
        <v>13</v>
      </c>
      <c r="CI16">
        <v>2</v>
      </c>
      <c r="CJ16" s="14">
        <v>0.6560636182902585</v>
      </c>
      <c r="CK16" s="14">
        <v>0.46060606060606063</v>
      </c>
      <c r="CL16" s="14">
        <v>0.13636363636363635</v>
      </c>
      <c r="CM16" s="14">
        <v>0.33636363636363636</v>
      </c>
      <c r="CN16" s="14">
        <v>3.9393939393939391E-2</v>
      </c>
      <c r="CO16" s="14">
        <v>6.0606060606060606E-3</v>
      </c>
      <c r="CP16" s="30">
        <v>2</v>
      </c>
      <c r="CQ16" s="15">
        <v>170</v>
      </c>
      <c r="CR16">
        <v>85</v>
      </c>
      <c r="CS16">
        <v>78</v>
      </c>
      <c r="CU16">
        <v>5</v>
      </c>
      <c r="CV16" s="14">
        <v>0.65225563909774431</v>
      </c>
      <c r="CW16" s="14">
        <v>0.48991354466858789</v>
      </c>
      <c r="CX16" s="14">
        <v>0.24495677233429394</v>
      </c>
      <c r="CY16" s="14">
        <v>0.22478386167146974</v>
      </c>
      <c r="CZ16" s="14">
        <v>0</v>
      </c>
      <c r="DA16" s="14">
        <v>1.4409221902017291E-2</v>
      </c>
      <c r="DB16" s="30">
        <v>3</v>
      </c>
      <c r="DC16" s="14" t="s">
        <v>470</v>
      </c>
      <c r="DD16" s="17" t="s">
        <v>434</v>
      </c>
      <c r="DE16" s="17" t="s">
        <v>435</v>
      </c>
      <c r="DF16" s="17" t="s">
        <v>450</v>
      </c>
      <c r="DG16" s="21">
        <v>217.01</v>
      </c>
      <c r="DH16" s="16">
        <v>503</v>
      </c>
      <c r="DI16" s="16">
        <v>0</v>
      </c>
      <c r="DJ16" s="16">
        <v>330</v>
      </c>
      <c r="DK16" s="23">
        <v>0.6560636182902585</v>
      </c>
      <c r="DL16" s="16">
        <v>1</v>
      </c>
      <c r="DM16">
        <v>3</v>
      </c>
      <c r="DN16" s="25"/>
      <c r="DO16" s="25"/>
      <c r="DP16" s="25"/>
      <c r="DQ16" s="26"/>
      <c r="DR16" s="26"/>
    </row>
    <row r="17" spans="1:122" ht="14.25" customHeight="1">
      <c r="A17" s="2">
        <v>5320</v>
      </c>
      <c r="B17" s="3" t="s">
        <v>494</v>
      </c>
      <c r="C17" s="3" t="s">
        <v>495</v>
      </c>
      <c r="D17" s="4">
        <v>26</v>
      </c>
      <c r="E17" s="3" t="s">
        <v>547</v>
      </c>
      <c r="F17" s="3" t="s">
        <v>548</v>
      </c>
      <c r="G17" s="4" t="s">
        <v>549</v>
      </c>
      <c r="H17" s="4" t="b">
        <v>1</v>
      </c>
      <c r="I17" s="4" t="b">
        <v>1</v>
      </c>
      <c r="J17" s="5" t="s">
        <v>549</v>
      </c>
      <c r="K17" s="5" t="s">
        <v>495</v>
      </c>
      <c r="L17" s="5" t="s">
        <v>547</v>
      </c>
      <c r="M17" s="5" t="s">
        <v>548</v>
      </c>
      <c r="N17" s="2" t="s">
        <v>499</v>
      </c>
      <c r="O17" s="2" t="s">
        <v>500</v>
      </c>
      <c r="P17" s="2">
        <v>70629</v>
      </c>
      <c r="Q17" s="2" t="s">
        <v>501</v>
      </c>
      <c r="R17" s="2">
        <v>609</v>
      </c>
      <c r="S17" s="2">
        <v>426</v>
      </c>
      <c r="T17" s="2">
        <v>426</v>
      </c>
      <c r="U17" s="2">
        <v>10</v>
      </c>
      <c r="V17" s="2">
        <v>416</v>
      </c>
      <c r="W17" s="2">
        <v>148</v>
      </c>
      <c r="X17" s="2">
        <v>62</v>
      </c>
      <c r="Y17" s="2">
        <v>0</v>
      </c>
      <c r="Z17" s="2">
        <v>4</v>
      </c>
      <c r="AA17" s="2">
        <v>78</v>
      </c>
      <c r="AB17" s="2">
        <v>37</v>
      </c>
      <c r="AC17" s="2">
        <v>10</v>
      </c>
      <c r="AD17" s="2">
        <v>1</v>
      </c>
      <c r="AE17" s="2">
        <v>37</v>
      </c>
      <c r="AF17" s="2">
        <v>16</v>
      </c>
      <c r="AG17" s="2">
        <v>13</v>
      </c>
      <c r="AH17" s="2">
        <v>0</v>
      </c>
      <c r="AI17" s="2">
        <v>0</v>
      </c>
      <c r="AJ17" s="2">
        <v>7</v>
      </c>
      <c r="AK17" s="2">
        <v>0</v>
      </c>
      <c r="AL17" s="2">
        <v>0</v>
      </c>
      <c r="AM17" s="2">
        <v>1</v>
      </c>
      <c r="AN17" s="2">
        <v>1</v>
      </c>
      <c r="AO17" s="2">
        <v>1</v>
      </c>
      <c r="AP17" s="2">
        <v>609</v>
      </c>
      <c r="AQ17" s="2">
        <v>426</v>
      </c>
      <c r="AR17" s="2">
        <v>426</v>
      </c>
      <c r="AS17" s="2">
        <v>7</v>
      </c>
      <c r="AT17" s="2">
        <v>419</v>
      </c>
      <c r="AU17" s="2">
        <v>1</v>
      </c>
      <c r="AV17" s="2">
        <v>18</v>
      </c>
      <c r="AW17" s="2">
        <v>12</v>
      </c>
      <c r="AX17" s="2">
        <v>115</v>
      </c>
      <c r="AY17" s="2">
        <v>19</v>
      </c>
      <c r="AZ17" s="2">
        <v>201</v>
      </c>
      <c r="BA17" s="2">
        <v>41</v>
      </c>
      <c r="BB17" s="2">
        <v>12</v>
      </c>
      <c r="BC17" s="11" t="s">
        <v>499</v>
      </c>
      <c r="BD17" s="11" t="s">
        <v>502</v>
      </c>
      <c r="BE17" s="11">
        <v>70629</v>
      </c>
      <c r="BF17" s="11" t="s">
        <v>501</v>
      </c>
      <c r="BG17" s="11">
        <v>26</v>
      </c>
      <c r="BH17" s="11">
        <v>619</v>
      </c>
      <c r="BI17" s="11">
        <v>438</v>
      </c>
      <c r="BJ17" s="11">
        <v>438</v>
      </c>
      <c r="BK17" s="11">
        <v>13</v>
      </c>
      <c r="BL17" s="11">
        <v>425</v>
      </c>
      <c r="BM17" s="11">
        <v>151</v>
      </c>
      <c r="BN17" s="11">
        <v>39</v>
      </c>
      <c r="BO17" s="11">
        <v>9</v>
      </c>
      <c r="BP17" s="11">
        <v>10</v>
      </c>
      <c r="BQ17" s="11">
        <v>46</v>
      </c>
      <c r="BR17" s="11">
        <v>0</v>
      </c>
      <c r="BS17" s="11">
        <v>143</v>
      </c>
      <c r="BT17" s="11">
        <v>0</v>
      </c>
      <c r="BU17" s="11">
        <v>0</v>
      </c>
      <c r="BV17" s="11">
        <v>1</v>
      </c>
      <c r="BW17" s="11">
        <v>1</v>
      </c>
      <c r="BX17" s="11">
        <v>5</v>
      </c>
      <c r="BY17" s="11">
        <v>0</v>
      </c>
      <c r="BZ17" s="11">
        <v>16</v>
      </c>
      <c r="CA17" s="11">
        <v>0</v>
      </c>
      <c r="CB17" s="11">
        <v>1</v>
      </c>
      <c r="CC17" s="11">
        <v>3</v>
      </c>
      <c r="CD17" s="11">
        <v>0</v>
      </c>
      <c r="CE17">
        <v>199</v>
      </c>
      <c r="CF17">
        <v>57</v>
      </c>
      <c r="CG17">
        <v>151</v>
      </c>
      <c r="CH17">
        <v>16</v>
      </c>
      <c r="CI17">
        <v>2</v>
      </c>
      <c r="CJ17" s="14">
        <v>0.70759289176090467</v>
      </c>
      <c r="CK17" s="14">
        <v>0.454337899543379</v>
      </c>
      <c r="CL17" s="14">
        <v>0.13013698630136986</v>
      </c>
      <c r="CM17" s="14">
        <v>0.34474885844748859</v>
      </c>
      <c r="CN17" s="14">
        <v>3.6529680365296802E-2</v>
      </c>
      <c r="CO17" s="14">
        <v>4.5662100456621002E-3</v>
      </c>
      <c r="CP17" s="30">
        <v>2</v>
      </c>
      <c r="CQ17" s="15">
        <v>214</v>
      </c>
      <c r="CR17">
        <v>76</v>
      </c>
      <c r="CS17">
        <v>123</v>
      </c>
      <c r="CU17">
        <v>3</v>
      </c>
      <c r="CV17" s="14">
        <v>0.69950738916256161</v>
      </c>
      <c r="CW17" s="14">
        <v>0.50234741784037562</v>
      </c>
      <c r="CX17" s="14">
        <v>0.17840375586854459</v>
      </c>
      <c r="CY17" s="14">
        <v>0.28873239436619719</v>
      </c>
      <c r="CZ17" s="14">
        <v>0</v>
      </c>
      <c r="DA17" s="14">
        <v>7.0422535211267607E-3</v>
      </c>
      <c r="DB17" s="30">
        <v>2</v>
      </c>
      <c r="DC17" s="14" t="s">
        <v>477</v>
      </c>
      <c r="DD17" s="17" t="s">
        <v>434</v>
      </c>
      <c r="DE17" s="17" t="s">
        <v>434</v>
      </c>
      <c r="DF17" s="17" t="s">
        <v>449</v>
      </c>
      <c r="DG17" s="21">
        <v>270.59000000000003</v>
      </c>
      <c r="DH17" s="16">
        <v>619</v>
      </c>
      <c r="DI17" s="16">
        <v>0</v>
      </c>
      <c r="DJ17" s="16">
        <v>438</v>
      </c>
      <c r="DK17" s="23">
        <v>0.70759289176090467</v>
      </c>
      <c r="DL17" s="16">
        <v>1</v>
      </c>
      <c r="DM17">
        <v>3</v>
      </c>
      <c r="DN17" s="25"/>
      <c r="DO17" s="25"/>
      <c r="DP17" s="25"/>
      <c r="DQ17" s="26"/>
      <c r="DR17" s="26"/>
    </row>
    <row r="18" spans="1:122" ht="14.25" customHeight="1">
      <c r="A18" s="2">
        <v>5322</v>
      </c>
      <c r="B18" s="3" t="s">
        <v>494</v>
      </c>
      <c r="C18" s="3" t="s">
        <v>495</v>
      </c>
      <c r="D18" s="4">
        <v>28</v>
      </c>
      <c r="E18" s="3" t="s">
        <v>550</v>
      </c>
      <c r="F18" s="3" t="s">
        <v>551</v>
      </c>
      <c r="G18" s="4" t="s">
        <v>552</v>
      </c>
      <c r="H18" s="4" t="b">
        <v>1</v>
      </c>
      <c r="I18" s="4" t="b">
        <v>1</v>
      </c>
      <c r="J18" s="5" t="s">
        <v>552</v>
      </c>
      <c r="K18" s="5" t="s">
        <v>495</v>
      </c>
      <c r="L18" s="5" t="s">
        <v>550</v>
      </c>
      <c r="M18" s="5" t="s">
        <v>551</v>
      </c>
      <c r="N18" s="2" t="s">
        <v>499</v>
      </c>
      <c r="O18" s="2" t="s">
        <v>500</v>
      </c>
      <c r="P18" s="2">
        <v>70629</v>
      </c>
      <c r="Q18" s="2" t="s">
        <v>501</v>
      </c>
      <c r="R18" s="2">
        <v>523</v>
      </c>
      <c r="S18" s="2">
        <v>339</v>
      </c>
      <c r="T18" s="2">
        <v>339</v>
      </c>
      <c r="U18" s="2">
        <v>6</v>
      </c>
      <c r="V18" s="2">
        <v>333</v>
      </c>
      <c r="W18" s="2">
        <v>103</v>
      </c>
      <c r="X18" s="2">
        <v>48</v>
      </c>
      <c r="Y18" s="2">
        <v>1</v>
      </c>
      <c r="Z18" s="2">
        <v>6</v>
      </c>
      <c r="AA18" s="2">
        <v>71</v>
      </c>
      <c r="AB18" s="2">
        <v>40</v>
      </c>
      <c r="AC18" s="2">
        <v>8</v>
      </c>
      <c r="AD18" s="2">
        <v>0</v>
      </c>
      <c r="AE18" s="2">
        <v>16</v>
      </c>
      <c r="AF18" s="2">
        <v>20</v>
      </c>
      <c r="AG18" s="2">
        <v>9</v>
      </c>
      <c r="AH18" s="2">
        <v>0</v>
      </c>
      <c r="AI18" s="2">
        <v>0</v>
      </c>
      <c r="AJ18" s="2">
        <v>10</v>
      </c>
      <c r="AK18" s="2">
        <v>0</v>
      </c>
      <c r="AL18" s="2">
        <v>0</v>
      </c>
      <c r="AM18" s="2">
        <v>1</v>
      </c>
      <c r="AN18" s="2">
        <v>0</v>
      </c>
      <c r="AO18" s="2">
        <v>0</v>
      </c>
      <c r="AP18" s="2">
        <v>523</v>
      </c>
      <c r="AQ18" s="2">
        <v>339</v>
      </c>
      <c r="AR18" s="2">
        <v>339</v>
      </c>
      <c r="AS18" s="2">
        <v>10</v>
      </c>
      <c r="AT18" s="2">
        <v>329</v>
      </c>
      <c r="AU18" s="2">
        <v>3</v>
      </c>
      <c r="AV18" s="2">
        <v>11</v>
      </c>
      <c r="AW18" s="2">
        <v>10</v>
      </c>
      <c r="AX18" s="2">
        <v>83</v>
      </c>
      <c r="AY18" s="2">
        <v>16</v>
      </c>
      <c r="AZ18" s="2">
        <v>154</v>
      </c>
      <c r="BA18" s="2">
        <v>38</v>
      </c>
      <c r="BB18" s="2">
        <v>14</v>
      </c>
      <c r="BC18" s="11" t="s">
        <v>499</v>
      </c>
      <c r="BD18" s="11" t="s">
        <v>502</v>
      </c>
      <c r="BE18" s="11">
        <v>70629</v>
      </c>
      <c r="BF18" s="11" t="s">
        <v>501</v>
      </c>
      <c r="BG18" s="11">
        <v>28</v>
      </c>
      <c r="BH18" s="11">
        <v>503</v>
      </c>
      <c r="BI18" s="11">
        <v>332</v>
      </c>
      <c r="BJ18" s="11">
        <v>332</v>
      </c>
      <c r="BK18" s="11">
        <v>12</v>
      </c>
      <c r="BL18" s="11">
        <v>320</v>
      </c>
      <c r="BM18" s="11">
        <v>115</v>
      </c>
      <c r="BN18" s="11">
        <v>21</v>
      </c>
      <c r="BO18" s="11">
        <v>7</v>
      </c>
      <c r="BP18" s="11">
        <v>5</v>
      </c>
      <c r="BQ18" s="11">
        <v>26</v>
      </c>
      <c r="BR18" s="11">
        <v>0</v>
      </c>
      <c r="BS18" s="11">
        <v>118</v>
      </c>
      <c r="BT18" s="11">
        <v>0</v>
      </c>
      <c r="BU18" s="11">
        <v>0</v>
      </c>
      <c r="BV18" s="11">
        <v>0</v>
      </c>
      <c r="BW18" s="11">
        <v>0</v>
      </c>
      <c r="BX18" s="11">
        <v>5</v>
      </c>
      <c r="BY18" s="11">
        <v>1</v>
      </c>
      <c r="BZ18" s="11">
        <v>19</v>
      </c>
      <c r="CA18" s="11">
        <v>0</v>
      </c>
      <c r="CB18" s="11">
        <v>0</v>
      </c>
      <c r="CC18" s="11">
        <v>3</v>
      </c>
      <c r="CD18" s="11">
        <v>0</v>
      </c>
      <c r="CE18">
        <v>143</v>
      </c>
      <c r="CF18">
        <v>31</v>
      </c>
      <c r="CG18">
        <v>126</v>
      </c>
      <c r="CH18">
        <v>19</v>
      </c>
      <c r="CI18">
        <v>1</v>
      </c>
      <c r="CJ18" s="14">
        <v>0.66003976143141152</v>
      </c>
      <c r="CK18" s="14">
        <v>0.43072289156626509</v>
      </c>
      <c r="CL18" s="14">
        <v>9.337349397590361E-2</v>
      </c>
      <c r="CM18" s="14">
        <v>0.37951807228915663</v>
      </c>
      <c r="CN18" s="14">
        <v>5.7228915662650599E-2</v>
      </c>
      <c r="CO18" s="14">
        <v>3.0120481927710845E-3</v>
      </c>
      <c r="CP18" s="30">
        <v>1</v>
      </c>
      <c r="CQ18" s="15">
        <v>157</v>
      </c>
      <c r="CR18">
        <v>77</v>
      </c>
      <c r="CS18">
        <v>98</v>
      </c>
      <c r="CU18">
        <v>1</v>
      </c>
      <c r="CV18" s="14">
        <v>0.64818355640535374</v>
      </c>
      <c r="CW18" s="14">
        <v>0.46312684365781709</v>
      </c>
      <c r="CX18" s="14">
        <v>0.22713864306784662</v>
      </c>
      <c r="CY18" s="14">
        <v>0.28908554572271389</v>
      </c>
      <c r="CZ18" s="14">
        <v>0</v>
      </c>
      <c r="DA18" s="14">
        <v>2.9498525073746312E-3</v>
      </c>
      <c r="DB18" s="30">
        <v>2</v>
      </c>
      <c r="DC18" s="14" t="s">
        <v>481</v>
      </c>
      <c r="DD18" s="17" t="s">
        <v>433</v>
      </c>
      <c r="DE18" s="17" t="s">
        <v>434</v>
      </c>
      <c r="DF18" s="17" t="s">
        <v>454</v>
      </c>
      <c r="DG18" s="21">
        <v>223.57</v>
      </c>
      <c r="DH18" s="16">
        <v>503</v>
      </c>
      <c r="DI18" s="16">
        <v>0</v>
      </c>
      <c r="DJ18" s="16">
        <v>332</v>
      </c>
      <c r="DK18" s="23">
        <v>0.66003976143141152</v>
      </c>
      <c r="DL18" s="16">
        <v>1</v>
      </c>
      <c r="DM18">
        <v>2</v>
      </c>
      <c r="DN18" s="25"/>
      <c r="DO18" s="25"/>
      <c r="DP18" s="25"/>
      <c r="DQ18" s="26"/>
      <c r="DR18" s="26"/>
    </row>
    <row r="19" spans="1:122" ht="14.25" customHeight="1">
      <c r="A19" s="2">
        <v>5323</v>
      </c>
      <c r="B19" s="3" t="s">
        <v>494</v>
      </c>
      <c r="C19" s="3" t="s">
        <v>495</v>
      </c>
      <c r="D19" s="4">
        <v>29</v>
      </c>
      <c r="E19" s="3" t="s">
        <v>12</v>
      </c>
      <c r="F19" s="3" t="s">
        <v>553</v>
      </c>
      <c r="G19" s="4" t="s">
        <v>554</v>
      </c>
      <c r="H19" s="4" t="b">
        <v>1</v>
      </c>
      <c r="I19" s="4" t="b">
        <v>1</v>
      </c>
      <c r="J19" s="5" t="s">
        <v>554</v>
      </c>
      <c r="K19" s="5" t="s">
        <v>495</v>
      </c>
      <c r="L19" s="5" t="s">
        <v>12</v>
      </c>
      <c r="M19" s="5" t="s">
        <v>553</v>
      </c>
      <c r="N19" s="2" t="s">
        <v>499</v>
      </c>
      <c r="O19" s="2" t="s">
        <v>500</v>
      </c>
      <c r="P19" s="2">
        <v>70629</v>
      </c>
      <c r="Q19" s="2" t="s">
        <v>501</v>
      </c>
      <c r="R19" s="2">
        <v>599</v>
      </c>
      <c r="S19" s="2">
        <v>407</v>
      </c>
      <c r="T19" s="2">
        <v>407</v>
      </c>
      <c r="U19" s="2">
        <v>18</v>
      </c>
      <c r="V19" s="2">
        <v>389</v>
      </c>
      <c r="W19" s="2">
        <v>137</v>
      </c>
      <c r="X19" s="2">
        <v>39</v>
      </c>
      <c r="Y19" s="2">
        <v>1</v>
      </c>
      <c r="Z19" s="2">
        <v>5</v>
      </c>
      <c r="AA19" s="2">
        <v>84</v>
      </c>
      <c r="AB19" s="2">
        <v>34</v>
      </c>
      <c r="AC19" s="2">
        <v>7</v>
      </c>
      <c r="AD19" s="2">
        <v>0</v>
      </c>
      <c r="AE19" s="2">
        <v>29</v>
      </c>
      <c r="AF19" s="2">
        <v>23</v>
      </c>
      <c r="AG19" s="2">
        <v>21</v>
      </c>
      <c r="AH19" s="2">
        <v>0</v>
      </c>
      <c r="AI19" s="2">
        <v>0</v>
      </c>
      <c r="AJ19" s="2">
        <v>4</v>
      </c>
      <c r="AK19" s="2">
        <v>0</v>
      </c>
      <c r="AL19" s="2">
        <v>0</v>
      </c>
      <c r="AM19" s="2">
        <v>5</v>
      </c>
      <c r="AN19" s="2">
        <v>0</v>
      </c>
      <c r="AO19" s="2">
        <v>0</v>
      </c>
      <c r="AP19" s="2">
        <v>599</v>
      </c>
      <c r="AQ19" s="2">
        <v>407</v>
      </c>
      <c r="AR19" s="2">
        <v>407</v>
      </c>
      <c r="AS19" s="2">
        <v>13</v>
      </c>
      <c r="AT19" s="2">
        <v>394</v>
      </c>
      <c r="AU19" s="2">
        <v>3</v>
      </c>
      <c r="AV19" s="2">
        <v>23</v>
      </c>
      <c r="AW19" s="2">
        <v>12</v>
      </c>
      <c r="AX19" s="2">
        <v>110</v>
      </c>
      <c r="AY19" s="2">
        <v>14</v>
      </c>
      <c r="AZ19" s="2">
        <v>172</v>
      </c>
      <c r="BA19" s="2">
        <v>43</v>
      </c>
      <c r="BB19" s="2">
        <v>17</v>
      </c>
      <c r="BC19" s="11" t="s">
        <v>499</v>
      </c>
      <c r="BD19" s="11" t="s">
        <v>502</v>
      </c>
      <c r="BE19" s="11">
        <v>70629</v>
      </c>
      <c r="BF19" s="11" t="s">
        <v>501</v>
      </c>
      <c r="BG19" s="11">
        <v>29</v>
      </c>
      <c r="BH19" s="11">
        <v>593</v>
      </c>
      <c r="BI19" s="11">
        <v>405</v>
      </c>
      <c r="BJ19" s="11">
        <v>405</v>
      </c>
      <c r="BK19" s="11">
        <v>14</v>
      </c>
      <c r="BL19" s="11">
        <v>391</v>
      </c>
      <c r="BM19" s="11">
        <v>148</v>
      </c>
      <c r="BN19" s="11">
        <v>27</v>
      </c>
      <c r="BO19" s="11">
        <v>4</v>
      </c>
      <c r="BP19" s="11">
        <v>4</v>
      </c>
      <c r="BQ19" s="11">
        <v>28</v>
      </c>
      <c r="BR19" s="11">
        <v>0</v>
      </c>
      <c r="BS19" s="11">
        <v>145</v>
      </c>
      <c r="BT19" s="11">
        <v>1</v>
      </c>
      <c r="BU19" s="11">
        <v>0</v>
      </c>
      <c r="BV19" s="11">
        <v>1</v>
      </c>
      <c r="BW19" s="11">
        <v>2</v>
      </c>
      <c r="BX19" s="11">
        <v>5</v>
      </c>
      <c r="BY19" s="11">
        <v>0</v>
      </c>
      <c r="BZ19" s="11">
        <v>24</v>
      </c>
      <c r="CA19" s="11">
        <v>0</v>
      </c>
      <c r="CB19" s="11">
        <v>0</v>
      </c>
      <c r="CC19" s="11">
        <v>2</v>
      </c>
      <c r="CD19" s="11">
        <v>0</v>
      </c>
      <c r="CE19">
        <v>179</v>
      </c>
      <c r="CF19">
        <v>34</v>
      </c>
      <c r="CG19">
        <v>152</v>
      </c>
      <c r="CH19">
        <v>24</v>
      </c>
      <c r="CI19">
        <v>2</v>
      </c>
      <c r="CJ19" s="14">
        <v>0.68296795952782463</v>
      </c>
      <c r="CK19" s="14">
        <v>0.44197530864197532</v>
      </c>
      <c r="CL19" s="14">
        <v>8.3950617283950618E-2</v>
      </c>
      <c r="CM19" s="14">
        <v>0.37530864197530867</v>
      </c>
      <c r="CN19" s="14">
        <v>5.9259259259259262E-2</v>
      </c>
      <c r="CO19" s="14">
        <v>4.9382716049382715E-3</v>
      </c>
      <c r="CP19" s="30">
        <v>1</v>
      </c>
      <c r="CQ19" s="15">
        <v>181</v>
      </c>
      <c r="CR19">
        <v>85</v>
      </c>
      <c r="CS19">
        <v>122</v>
      </c>
      <c r="CU19">
        <v>1</v>
      </c>
      <c r="CV19" s="14">
        <v>0.67946577629382299</v>
      </c>
      <c r="CW19" s="14">
        <v>0.44471744471744473</v>
      </c>
      <c r="CX19" s="14">
        <v>0.20884520884520885</v>
      </c>
      <c r="CY19" s="14">
        <v>0.29975429975429974</v>
      </c>
      <c r="CZ19" s="14">
        <v>0</v>
      </c>
      <c r="DA19" s="14">
        <v>2.4570024570024569E-3</v>
      </c>
      <c r="DB19" s="30">
        <v>2</v>
      </c>
      <c r="DC19" s="14" t="s">
        <v>481</v>
      </c>
      <c r="DD19" s="17" t="s">
        <v>433</v>
      </c>
      <c r="DE19" s="17" t="s">
        <v>434</v>
      </c>
      <c r="DF19" s="17" t="s">
        <v>454</v>
      </c>
      <c r="DG19" s="21">
        <v>262.09000000000003</v>
      </c>
      <c r="DH19" s="16">
        <v>593</v>
      </c>
      <c r="DI19" s="16">
        <v>0</v>
      </c>
      <c r="DJ19" s="16">
        <v>405</v>
      </c>
      <c r="DK19" s="23">
        <v>0.68296795952782463</v>
      </c>
      <c r="DL19" s="16">
        <v>1</v>
      </c>
      <c r="DM19">
        <v>2</v>
      </c>
      <c r="DN19" s="25"/>
      <c r="DO19" s="25"/>
      <c r="DP19" s="25"/>
      <c r="DQ19" s="26"/>
      <c r="DR19" s="26"/>
    </row>
    <row r="20" spans="1:122" ht="14.25" customHeight="1">
      <c r="A20" s="2">
        <v>5295</v>
      </c>
      <c r="B20" s="3" t="s">
        <v>494</v>
      </c>
      <c r="C20" s="3" t="s">
        <v>495</v>
      </c>
      <c r="D20" s="4">
        <v>1</v>
      </c>
      <c r="E20" s="3" t="s">
        <v>17</v>
      </c>
      <c r="F20" s="3" t="s">
        <v>555</v>
      </c>
      <c r="G20" s="4" t="s">
        <v>556</v>
      </c>
      <c r="H20" s="4" t="b">
        <v>1</v>
      </c>
      <c r="I20" s="4" t="s">
        <v>16</v>
      </c>
      <c r="J20" s="5" t="s">
        <v>556</v>
      </c>
      <c r="K20" s="5" t="s">
        <v>495</v>
      </c>
      <c r="L20" s="5" t="s">
        <v>17</v>
      </c>
      <c r="M20" s="5" t="s">
        <v>557</v>
      </c>
      <c r="N20" s="2" t="s">
        <v>499</v>
      </c>
      <c r="O20" s="2" t="s">
        <v>500</v>
      </c>
      <c r="P20" s="2">
        <v>70629</v>
      </c>
      <c r="Q20" s="2" t="s">
        <v>501</v>
      </c>
      <c r="R20" s="2">
        <v>317</v>
      </c>
      <c r="S20" s="2">
        <v>203</v>
      </c>
      <c r="T20" s="2">
        <v>203</v>
      </c>
      <c r="U20" s="2">
        <v>5</v>
      </c>
      <c r="V20" s="2">
        <v>198</v>
      </c>
      <c r="W20" s="2">
        <v>95</v>
      </c>
      <c r="X20" s="2">
        <v>27</v>
      </c>
      <c r="Y20" s="2">
        <v>0</v>
      </c>
      <c r="Z20" s="2">
        <v>4</v>
      </c>
      <c r="AA20" s="2">
        <v>21</v>
      </c>
      <c r="AB20" s="2">
        <v>10</v>
      </c>
      <c r="AC20" s="2">
        <v>8</v>
      </c>
      <c r="AD20" s="2">
        <v>0</v>
      </c>
      <c r="AE20" s="2">
        <v>3</v>
      </c>
      <c r="AF20" s="2">
        <v>18</v>
      </c>
      <c r="AG20" s="2">
        <v>10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317</v>
      </c>
      <c r="AQ20" s="2">
        <v>203</v>
      </c>
      <c r="AR20" s="2">
        <v>203</v>
      </c>
      <c r="AS20" s="2">
        <v>6</v>
      </c>
      <c r="AT20" s="2">
        <v>197</v>
      </c>
      <c r="AU20" s="2">
        <v>2</v>
      </c>
      <c r="AV20" s="2">
        <v>3</v>
      </c>
      <c r="AW20" s="2">
        <v>13</v>
      </c>
      <c r="AX20" s="2">
        <v>27</v>
      </c>
      <c r="AY20" s="2">
        <v>4</v>
      </c>
      <c r="AZ20" s="2">
        <v>127</v>
      </c>
      <c r="BA20" s="2">
        <v>9</v>
      </c>
      <c r="BB20" s="2">
        <v>12</v>
      </c>
      <c r="BC20" s="11" t="s">
        <v>499</v>
      </c>
      <c r="BD20" s="11" t="s">
        <v>502</v>
      </c>
      <c r="BE20" s="11">
        <v>70629</v>
      </c>
      <c r="BF20" s="11" t="s">
        <v>501</v>
      </c>
      <c r="BG20" s="11">
        <v>1</v>
      </c>
      <c r="BH20" s="11">
        <v>315</v>
      </c>
      <c r="BI20" s="11">
        <v>205</v>
      </c>
      <c r="BJ20" s="11">
        <v>204</v>
      </c>
      <c r="BK20" s="11">
        <v>5</v>
      </c>
      <c r="BL20" s="11">
        <v>199</v>
      </c>
      <c r="BM20" s="11">
        <v>103</v>
      </c>
      <c r="BN20" s="11">
        <v>22</v>
      </c>
      <c r="BO20" s="11">
        <v>2</v>
      </c>
      <c r="BP20" s="11">
        <v>4</v>
      </c>
      <c r="BQ20" s="11">
        <v>16</v>
      </c>
      <c r="BR20" s="11">
        <v>0</v>
      </c>
      <c r="BS20" s="11">
        <v>45</v>
      </c>
      <c r="BT20" s="11">
        <v>0</v>
      </c>
      <c r="BU20" s="11">
        <v>0</v>
      </c>
      <c r="BV20" s="11">
        <v>0</v>
      </c>
      <c r="BW20" s="11">
        <v>1</v>
      </c>
      <c r="BX20" s="11">
        <v>0</v>
      </c>
      <c r="BY20" s="11">
        <v>0</v>
      </c>
      <c r="BZ20" s="11">
        <v>6</v>
      </c>
      <c r="CA20" s="11">
        <v>0</v>
      </c>
      <c r="CB20" s="11">
        <v>0</v>
      </c>
      <c r="CC20" s="11">
        <v>0</v>
      </c>
      <c r="CD20" s="11">
        <v>0</v>
      </c>
      <c r="CE20">
        <v>127</v>
      </c>
      <c r="CF20">
        <v>21</v>
      </c>
      <c r="CG20">
        <v>45</v>
      </c>
      <c r="CH20">
        <v>6</v>
      </c>
      <c r="CI20">
        <v>0</v>
      </c>
      <c r="CJ20" s="14">
        <v>0.65079365079365081</v>
      </c>
      <c r="CK20" s="14">
        <v>0.61951219512195121</v>
      </c>
      <c r="CL20" s="14">
        <v>0.1024390243902439</v>
      </c>
      <c r="CM20" s="14">
        <v>0.21951219512195122</v>
      </c>
      <c r="CN20" s="14">
        <v>2.9268292682926831E-2</v>
      </c>
      <c r="CO20" s="14">
        <v>0</v>
      </c>
      <c r="CP20" s="30">
        <v>8</v>
      </c>
      <c r="CQ20" s="15">
        <v>126</v>
      </c>
      <c r="CR20">
        <v>46</v>
      </c>
      <c r="CS20">
        <v>26</v>
      </c>
      <c r="CU20">
        <v>0</v>
      </c>
      <c r="CV20" s="14">
        <v>0.64037854889589907</v>
      </c>
      <c r="CW20" s="14">
        <v>0.62068965517241381</v>
      </c>
      <c r="CX20" s="14">
        <v>0.22660098522167488</v>
      </c>
      <c r="CY20" s="14">
        <v>0.12807881773399016</v>
      </c>
      <c r="CZ20" s="14">
        <v>0</v>
      </c>
      <c r="DA20" s="14">
        <v>0</v>
      </c>
      <c r="DB20" s="30">
        <v>3</v>
      </c>
      <c r="DC20" s="14" t="s">
        <v>487</v>
      </c>
      <c r="DD20" s="17" t="s">
        <v>439</v>
      </c>
      <c r="DE20" s="17" t="s">
        <v>435</v>
      </c>
      <c r="DF20" s="17" t="s">
        <v>441</v>
      </c>
      <c r="DG20" s="21">
        <v>110.55999999999999</v>
      </c>
      <c r="DH20" s="16">
        <v>315</v>
      </c>
      <c r="DI20" s="16">
        <v>0</v>
      </c>
      <c r="DJ20" s="16">
        <v>204</v>
      </c>
      <c r="DK20" s="23">
        <v>0.64761904761904765</v>
      </c>
      <c r="DL20" s="16">
        <v>0</v>
      </c>
      <c r="DM20">
        <v>0</v>
      </c>
      <c r="DN20" s="25"/>
      <c r="DO20" s="25"/>
      <c r="DP20" s="25"/>
      <c r="DQ20" s="26"/>
      <c r="DR20" s="26"/>
    </row>
    <row r="21" spans="1:122" ht="14.25" customHeight="1">
      <c r="A21" s="2">
        <v>5296</v>
      </c>
      <c r="B21" s="3" t="s">
        <v>494</v>
      </c>
      <c r="C21" s="3" t="s">
        <v>495</v>
      </c>
      <c r="D21" s="4">
        <v>2</v>
      </c>
      <c r="E21" s="3" t="s">
        <v>17</v>
      </c>
      <c r="F21" s="3" t="s">
        <v>558</v>
      </c>
      <c r="G21" s="4" t="s">
        <v>559</v>
      </c>
      <c r="H21" s="4" t="b">
        <v>1</v>
      </c>
      <c r="I21" s="4" t="s">
        <v>16</v>
      </c>
      <c r="J21" s="5" t="s">
        <v>559</v>
      </c>
      <c r="K21" s="5" t="s">
        <v>495</v>
      </c>
      <c r="L21" s="5" t="s">
        <v>17</v>
      </c>
      <c r="M21" s="5" t="s">
        <v>560</v>
      </c>
      <c r="N21" s="2" t="s">
        <v>499</v>
      </c>
      <c r="O21" s="2" t="s">
        <v>500</v>
      </c>
      <c r="P21" s="2">
        <v>70629</v>
      </c>
      <c r="Q21" s="2" t="s">
        <v>501</v>
      </c>
      <c r="R21" s="2">
        <v>361</v>
      </c>
      <c r="S21" s="2">
        <v>202</v>
      </c>
      <c r="T21" s="2">
        <v>202</v>
      </c>
      <c r="U21" s="2">
        <v>5</v>
      </c>
      <c r="V21" s="2">
        <v>197</v>
      </c>
      <c r="W21" s="2">
        <v>120</v>
      </c>
      <c r="X21" s="2">
        <v>26</v>
      </c>
      <c r="Y21" s="2">
        <v>0</v>
      </c>
      <c r="Z21" s="2">
        <v>3</v>
      </c>
      <c r="AA21" s="2">
        <v>7</v>
      </c>
      <c r="AB21" s="2">
        <v>19</v>
      </c>
      <c r="AC21" s="2">
        <v>8</v>
      </c>
      <c r="AD21" s="2">
        <v>0</v>
      </c>
      <c r="AE21" s="2">
        <v>0</v>
      </c>
      <c r="AF21" s="2">
        <v>0</v>
      </c>
      <c r="AG21" s="2">
        <v>14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361</v>
      </c>
      <c r="AQ21" s="2">
        <v>202</v>
      </c>
      <c r="AR21" s="2">
        <v>202</v>
      </c>
      <c r="AS21" s="2">
        <v>7</v>
      </c>
      <c r="AT21" s="2">
        <v>195</v>
      </c>
      <c r="AU21" s="2">
        <v>3</v>
      </c>
      <c r="AV21" s="2">
        <v>0</v>
      </c>
      <c r="AW21" s="2">
        <v>1</v>
      </c>
      <c r="AX21" s="2">
        <v>5</v>
      </c>
      <c r="AY21" s="2">
        <v>6</v>
      </c>
      <c r="AZ21" s="2">
        <v>147</v>
      </c>
      <c r="BA21" s="2">
        <v>21</v>
      </c>
      <c r="BB21" s="2">
        <v>12</v>
      </c>
      <c r="BC21" s="11" t="s">
        <v>499</v>
      </c>
      <c r="BD21" s="11" t="s">
        <v>502</v>
      </c>
      <c r="BE21" s="11">
        <v>70629</v>
      </c>
      <c r="BF21" s="11" t="s">
        <v>501</v>
      </c>
      <c r="BG21" s="11">
        <v>2</v>
      </c>
      <c r="BH21" s="11">
        <v>365</v>
      </c>
      <c r="BI21" s="11">
        <v>227</v>
      </c>
      <c r="BJ21" s="11">
        <v>227</v>
      </c>
      <c r="BK21" s="11">
        <v>0</v>
      </c>
      <c r="BL21" s="11">
        <v>227</v>
      </c>
      <c r="BM21" s="11">
        <v>113</v>
      </c>
      <c r="BN21" s="11">
        <v>13</v>
      </c>
      <c r="BO21" s="11">
        <v>3</v>
      </c>
      <c r="BP21" s="11">
        <v>7</v>
      </c>
      <c r="BQ21" s="11">
        <v>17</v>
      </c>
      <c r="BR21" s="11">
        <v>2</v>
      </c>
      <c r="BS21" s="11">
        <v>14</v>
      </c>
      <c r="BT21" s="11">
        <v>0</v>
      </c>
      <c r="BU21" s="11">
        <v>0</v>
      </c>
      <c r="BV21" s="11">
        <v>0</v>
      </c>
      <c r="BW21" s="11">
        <v>0</v>
      </c>
      <c r="BX21" s="11">
        <v>2</v>
      </c>
      <c r="BY21" s="11">
        <v>1</v>
      </c>
      <c r="BZ21" s="11">
        <v>54</v>
      </c>
      <c r="CA21" s="11">
        <v>0</v>
      </c>
      <c r="CB21" s="11">
        <v>0</v>
      </c>
      <c r="CC21" s="11">
        <v>0</v>
      </c>
      <c r="CD21" s="11">
        <v>1</v>
      </c>
      <c r="CE21">
        <v>129</v>
      </c>
      <c r="CF21">
        <v>24</v>
      </c>
      <c r="CG21">
        <v>16</v>
      </c>
      <c r="CH21">
        <v>54</v>
      </c>
      <c r="CI21">
        <v>4</v>
      </c>
      <c r="CJ21" s="14">
        <v>0.62191780821917808</v>
      </c>
      <c r="CK21" s="14">
        <v>0.56828193832599116</v>
      </c>
      <c r="CL21" s="14">
        <v>0.10572687224669604</v>
      </c>
      <c r="CM21" s="14">
        <v>7.0484581497797363E-2</v>
      </c>
      <c r="CN21" s="14">
        <v>0.23788546255506607</v>
      </c>
      <c r="CO21" s="14">
        <v>1.7621145374449341E-2</v>
      </c>
      <c r="CP21" s="30">
        <v>4</v>
      </c>
      <c r="CQ21" s="15">
        <v>149</v>
      </c>
      <c r="CR21">
        <v>41</v>
      </c>
      <c r="CS21">
        <v>7</v>
      </c>
      <c r="CU21">
        <v>0</v>
      </c>
      <c r="CV21" s="14">
        <v>0.55955678670360109</v>
      </c>
      <c r="CW21" s="14">
        <v>0.73762376237623761</v>
      </c>
      <c r="CX21" s="14">
        <v>0.20297029702970298</v>
      </c>
      <c r="CY21" s="14">
        <v>3.4653465346534656E-2</v>
      </c>
      <c r="CZ21" s="14">
        <v>0</v>
      </c>
      <c r="DA21" s="14">
        <v>0</v>
      </c>
      <c r="DB21" s="30">
        <v>3</v>
      </c>
      <c r="DC21" s="14" t="s">
        <v>491</v>
      </c>
      <c r="DD21" s="17" t="s">
        <v>436</v>
      </c>
      <c r="DE21" s="17" t="s">
        <v>435</v>
      </c>
      <c r="DF21" s="17" t="s">
        <v>492</v>
      </c>
      <c r="DG21" s="21">
        <v>128.51999999999998</v>
      </c>
      <c r="DH21" s="16">
        <v>365</v>
      </c>
      <c r="DI21" s="16">
        <v>0</v>
      </c>
      <c r="DJ21" s="16">
        <v>227</v>
      </c>
      <c r="DK21" s="23">
        <v>0.62191780821917808</v>
      </c>
      <c r="DL21" s="16">
        <v>0</v>
      </c>
      <c r="DM21">
        <v>0</v>
      </c>
      <c r="DN21" s="25"/>
      <c r="DO21" s="25"/>
      <c r="DP21" s="25"/>
      <c r="DQ21" s="26"/>
      <c r="DR21" s="26"/>
    </row>
    <row r="22" spans="1:122" ht="14.25" customHeight="1">
      <c r="A22" s="2">
        <v>5297</v>
      </c>
      <c r="B22" s="3" t="s">
        <v>494</v>
      </c>
      <c r="C22" s="3" t="s">
        <v>495</v>
      </c>
      <c r="D22" s="4">
        <v>3</v>
      </c>
      <c r="E22" s="3" t="s">
        <v>561</v>
      </c>
      <c r="F22" s="3" t="s">
        <v>522</v>
      </c>
      <c r="G22" s="4" t="s">
        <v>562</v>
      </c>
      <c r="H22" s="4" t="s">
        <v>16</v>
      </c>
      <c r="I22" s="4" t="s">
        <v>16</v>
      </c>
      <c r="J22" s="5" t="s">
        <v>562</v>
      </c>
      <c r="K22" s="5" t="s">
        <v>495</v>
      </c>
      <c r="L22" s="5" t="s">
        <v>508</v>
      </c>
      <c r="M22" s="5" t="s">
        <v>524</v>
      </c>
      <c r="N22" s="2" t="s">
        <v>499</v>
      </c>
      <c r="O22" s="2" t="s">
        <v>500</v>
      </c>
      <c r="P22" s="2">
        <v>70629</v>
      </c>
      <c r="Q22" s="2" t="s">
        <v>501</v>
      </c>
      <c r="R22" s="2">
        <v>198</v>
      </c>
      <c r="S22" s="2">
        <v>132</v>
      </c>
      <c r="T22" s="2">
        <v>132</v>
      </c>
      <c r="U22" s="2">
        <v>6</v>
      </c>
      <c r="V22" s="2">
        <v>126</v>
      </c>
      <c r="W22" s="2">
        <v>81</v>
      </c>
      <c r="X22" s="2">
        <v>6</v>
      </c>
      <c r="Y22" s="2">
        <v>0</v>
      </c>
      <c r="Z22" s="2">
        <v>1</v>
      </c>
      <c r="AA22" s="2">
        <v>15</v>
      </c>
      <c r="AB22" s="2">
        <v>6</v>
      </c>
      <c r="AC22" s="2">
        <v>1</v>
      </c>
      <c r="AD22" s="2">
        <v>1</v>
      </c>
      <c r="AE22" s="2">
        <v>0</v>
      </c>
      <c r="AF22" s="2">
        <v>5</v>
      </c>
      <c r="AG22" s="2">
        <v>10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198</v>
      </c>
      <c r="AQ22" s="2">
        <v>132</v>
      </c>
      <c r="AR22" s="2">
        <v>132</v>
      </c>
      <c r="AS22" s="2">
        <v>5</v>
      </c>
      <c r="AT22" s="2">
        <v>127</v>
      </c>
      <c r="AU22" s="2">
        <v>3</v>
      </c>
      <c r="AV22" s="2">
        <v>1</v>
      </c>
      <c r="AW22" s="2">
        <v>2</v>
      </c>
      <c r="AX22" s="2">
        <v>17</v>
      </c>
      <c r="AY22" s="2">
        <v>4</v>
      </c>
      <c r="AZ22" s="2">
        <v>85</v>
      </c>
      <c r="BA22" s="2">
        <v>5</v>
      </c>
      <c r="BB22" s="2">
        <v>10</v>
      </c>
      <c r="BC22" s="11" t="s">
        <v>499</v>
      </c>
      <c r="BD22" s="11" t="s">
        <v>502</v>
      </c>
      <c r="BE22" s="11">
        <v>70629</v>
      </c>
      <c r="BF22" s="11" t="s">
        <v>501</v>
      </c>
      <c r="BG22" s="11">
        <v>3</v>
      </c>
      <c r="BH22" s="11">
        <v>188</v>
      </c>
      <c r="BI22" s="11">
        <v>140</v>
      </c>
      <c r="BJ22" s="11">
        <v>140</v>
      </c>
      <c r="BK22" s="11">
        <v>2</v>
      </c>
      <c r="BL22" s="11">
        <v>138</v>
      </c>
      <c r="BM22" s="11">
        <v>106</v>
      </c>
      <c r="BN22" s="11">
        <v>2</v>
      </c>
      <c r="BO22" s="11">
        <v>1</v>
      </c>
      <c r="BP22" s="11">
        <v>1</v>
      </c>
      <c r="BQ22" s="11">
        <v>3</v>
      </c>
      <c r="BR22" s="11">
        <v>0</v>
      </c>
      <c r="BS22" s="11">
        <v>21</v>
      </c>
      <c r="BT22" s="11">
        <v>2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1</v>
      </c>
      <c r="CA22" s="11">
        <v>0</v>
      </c>
      <c r="CB22" s="11">
        <v>1</v>
      </c>
      <c r="CC22" s="11">
        <v>0</v>
      </c>
      <c r="CD22" s="11">
        <v>0</v>
      </c>
      <c r="CE22">
        <v>109</v>
      </c>
      <c r="CF22">
        <v>4</v>
      </c>
      <c r="CG22">
        <v>21</v>
      </c>
      <c r="CH22">
        <v>1</v>
      </c>
      <c r="CI22">
        <v>3</v>
      </c>
      <c r="CJ22" s="14">
        <v>0.74468085106382975</v>
      </c>
      <c r="CK22" s="14">
        <v>0.77857142857142858</v>
      </c>
      <c r="CL22" s="14">
        <v>2.8571428571428571E-2</v>
      </c>
      <c r="CM22" s="14">
        <v>0.15</v>
      </c>
      <c r="CN22" s="14">
        <v>7.1428571428571426E-3</v>
      </c>
      <c r="CO22" s="14">
        <v>2.1428571428571429E-2</v>
      </c>
      <c r="CP22" s="30">
        <v>8</v>
      </c>
      <c r="CQ22" s="15">
        <v>88</v>
      </c>
      <c r="CR22">
        <v>22</v>
      </c>
      <c r="CS22">
        <v>15</v>
      </c>
      <c r="CU22">
        <v>1</v>
      </c>
      <c r="CV22" s="14">
        <v>0.66666666666666663</v>
      </c>
      <c r="CW22" s="14">
        <v>0.66666666666666663</v>
      </c>
      <c r="CX22" s="14">
        <v>0.16666666666666666</v>
      </c>
      <c r="CY22" s="14">
        <v>0.11363636363636363</v>
      </c>
      <c r="CZ22" s="14">
        <v>0</v>
      </c>
      <c r="DA22" s="14">
        <v>7.575757575757576E-3</v>
      </c>
      <c r="DB22" s="30">
        <v>8</v>
      </c>
      <c r="DC22" s="14" t="s">
        <v>488</v>
      </c>
      <c r="DD22" s="17" t="s">
        <v>439</v>
      </c>
      <c r="DE22" s="17" t="s">
        <v>439</v>
      </c>
      <c r="DF22" s="17" t="s">
        <v>442</v>
      </c>
      <c r="DG22" s="21">
        <v>44.850000000000009</v>
      </c>
      <c r="DH22" s="16">
        <v>188</v>
      </c>
      <c r="DI22" s="16">
        <v>0</v>
      </c>
      <c r="DJ22" s="16">
        <v>140</v>
      </c>
      <c r="DK22" s="23">
        <v>0.74468085106382975</v>
      </c>
      <c r="DL22" s="16">
        <v>0</v>
      </c>
      <c r="DM22">
        <v>0</v>
      </c>
      <c r="DN22" s="25"/>
      <c r="DO22" s="25"/>
      <c r="DP22" s="25"/>
      <c r="DQ22" s="26"/>
      <c r="DR22" s="26"/>
    </row>
    <row r="23" spans="1:122" ht="14.25" customHeight="1">
      <c r="A23" s="2">
        <v>5301</v>
      </c>
      <c r="B23" s="3" t="s">
        <v>494</v>
      </c>
      <c r="C23" s="3" t="s">
        <v>495</v>
      </c>
      <c r="D23" s="4">
        <v>7</v>
      </c>
      <c r="E23" s="3" t="s">
        <v>17</v>
      </c>
      <c r="F23" s="3" t="s">
        <v>563</v>
      </c>
      <c r="G23" s="4" t="s">
        <v>564</v>
      </c>
      <c r="H23" s="4" t="b">
        <v>1</v>
      </c>
      <c r="I23" s="4" t="s">
        <v>16</v>
      </c>
      <c r="J23" s="5" t="s">
        <v>564</v>
      </c>
      <c r="K23" s="5" t="s">
        <v>495</v>
      </c>
      <c r="L23" s="5" t="s">
        <v>17</v>
      </c>
      <c r="M23" s="5" t="s">
        <v>565</v>
      </c>
      <c r="N23" s="2" t="s">
        <v>499</v>
      </c>
      <c r="O23" s="2" t="s">
        <v>500</v>
      </c>
      <c r="P23" s="2">
        <v>70629</v>
      </c>
      <c r="Q23" s="2" t="s">
        <v>501</v>
      </c>
      <c r="R23" s="2">
        <v>198</v>
      </c>
      <c r="S23" s="2">
        <v>158</v>
      </c>
      <c r="T23" s="2">
        <v>158</v>
      </c>
      <c r="U23" s="2">
        <v>9</v>
      </c>
      <c r="V23" s="2">
        <v>149</v>
      </c>
      <c r="W23" s="2">
        <v>105</v>
      </c>
      <c r="X23" s="2">
        <v>11</v>
      </c>
      <c r="Y23" s="2">
        <v>0</v>
      </c>
      <c r="Z23" s="2">
        <v>2</v>
      </c>
      <c r="AA23" s="2">
        <v>19</v>
      </c>
      <c r="AB23" s="2">
        <v>5</v>
      </c>
      <c r="AC23" s="2">
        <v>2</v>
      </c>
      <c r="AD23" s="2">
        <v>0</v>
      </c>
      <c r="AE23" s="2">
        <v>0</v>
      </c>
      <c r="AF23" s="2">
        <v>1</v>
      </c>
      <c r="AG23" s="2">
        <v>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2</v>
      </c>
      <c r="AN23" s="2">
        <v>0</v>
      </c>
      <c r="AO23" s="2">
        <v>0</v>
      </c>
      <c r="AP23" s="2">
        <v>198</v>
      </c>
      <c r="AQ23" s="2">
        <v>158</v>
      </c>
      <c r="AR23" s="2">
        <v>158</v>
      </c>
      <c r="AS23" s="2">
        <v>4</v>
      </c>
      <c r="AT23" s="2">
        <v>154</v>
      </c>
      <c r="AU23" s="2">
        <v>3</v>
      </c>
      <c r="AV23" s="2">
        <v>2</v>
      </c>
      <c r="AW23" s="2">
        <v>0</v>
      </c>
      <c r="AX23" s="2">
        <v>16</v>
      </c>
      <c r="AY23" s="2">
        <v>5</v>
      </c>
      <c r="AZ23" s="2">
        <v>117</v>
      </c>
      <c r="BA23" s="2">
        <v>6</v>
      </c>
      <c r="BB23" s="2">
        <v>5</v>
      </c>
      <c r="BC23" s="11" t="s">
        <v>499</v>
      </c>
      <c r="BD23" s="11" t="s">
        <v>502</v>
      </c>
      <c r="BE23" s="11">
        <v>70629</v>
      </c>
      <c r="BF23" s="11" t="s">
        <v>501</v>
      </c>
      <c r="BG23" s="11">
        <v>7</v>
      </c>
      <c r="BH23" s="11">
        <v>183</v>
      </c>
      <c r="BI23" s="11">
        <v>146</v>
      </c>
      <c r="BJ23" s="11">
        <v>146</v>
      </c>
      <c r="BK23" s="11">
        <v>2</v>
      </c>
      <c r="BL23" s="11">
        <v>144</v>
      </c>
      <c r="BM23" s="11">
        <v>94</v>
      </c>
      <c r="BN23" s="11">
        <v>7</v>
      </c>
      <c r="BO23" s="11">
        <v>1</v>
      </c>
      <c r="BP23" s="11">
        <v>1</v>
      </c>
      <c r="BQ23" s="11">
        <v>6</v>
      </c>
      <c r="BR23" s="11">
        <v>0</v>
      </c>
      <c r="BS23" s="11">
        <v>30</v>
      </c>
      <c r="BT23" s="11">
        <v>1</v>
      </c>
      <c r="BU23" s="11">
        <v>0</v>
      </c>
      <c r="BV23" s="11">
        <v>0</v>
      </c>
      <c r="BW23" s="11">
        <v>0</v>
      </c>
      <c r="BX23" s="11">
        <v>2</v>
      </c>
      <c r="BY23" s="11">
        <v>0</v>
      </c>
      <c r="BZ23" s="11">
        <v>2</v>
      </c>
      <c r="CA23" s="11">
        <v>0</v>
      </c>
      <c r="CB23" s="11">
        <v>0</v>
      </c>
      <c r="CC23" s="11">
        <v>0</v>
      </c>
      <c r="CD23" s="11">
        <v>0</v>
      </c>
      <c r="CE23">
        <v>102</v>
      </c>
      <c r="CF23">
        <v>7</v>
      </c>
      <c r="CG23">
        <v>32</v>
      </c>
      <c r="CH23">
        <v>2</v>
      </c>
      <c r="CI23">
        <v>1</v>
      </c>
      <c r="CJ23" s="14">
        <v>0.79781420765027322</v>
      </c>
      <c r="CK23" s="14">
        <v>0.69863013698630139</v>
      </c>
      <c r="CL23" s="14">
        <v>4.7945205479452052E-2</v>
      </c>
      <c r="CM23" s="14">
        <v>0.21917808219178081</v>
      </c>
      <c r="CN23" s="14">
        <v>1.3698630136986301E-2</v>
      </c>
      <c r="CO23" s="14">
        <v>6.8493150684931503E-3</v>
      </c>
      <c r="CP23" s="30">
        <v>8</v>
      </c>
      <c r="CQ23" s="15">
        <v>118</v>
      </c>
      <c r="CR23">
        <v>10</v>
      </c>
      <c r="CS23">
        <v>21</v>
      </c>
      <c r="CU23">
        <v>0</v>
      </c>
      <c r="CV23" s="14">
        <v>0.79797979797979801</v>
      </c>
      <c r="CW23" s="14">
        <v>0.74683544303797467</v>
      </c>
      <c r="CX23" s="14">
        <v>6.3291139240506333E-2</v>
      </c>
      <c r="CY23" s="14">
        <v>0.13291139240506328</v>
      </c>
      <c r="CZ23" s="14">
        <v>0</v>
      </c>
      <c r="DA23" s="14">
        <v>0</v>
      </c>
      <c r="DB23" s="30">
        <v>8</v>
      </c>
      <c r="DC23" s="14" t="s">
        <v>488</v>
      </c>
      <c r="DD23" s="17" t="s">
        <v>439</v>
      </c>
      <c r="DE23" s="17" t="s">
        <v>439</v>
      </c>
      <c r="DF23" s="17" t="s">
        <v>442</v>
      </c>
      <c r="DG23" s="21">
        <v>53.990000000000009</v>
      </c>
      <c r="DH23" s="16">
        <v>183</v>
      </c>
      <c r="DI23" s="16">
        <v>0</v>
      </c>
      <c r="DJ23" s="16">
        <v>146</v>
      </c>
      <c r="DK23" s="23">
        <v>0.79781420765027322</v>
      </c>
      <c r="DL23" s="16">
        <v>0</v>
      </c>
      <c r="DM23">
        <v>0</v>
      </c>
      <c r="DN23" s="25"/>
      <c r="DO23" s="25"/>
      <c r="DP23" s="25"/>
      <c r="DQ23" s="26"/>
      <c r="DR23" s="26"/>
    </row>
    <row r="24" spans="1:122" ht="14.25" customHeight="1">
      <c r="A24" s="2">
        <v>5304</v>
      </c>
      <c r="B24" s="3" t="s">
        <v>494</v>
      </c>
      <c r="C24" s="3" t="s">
        <v>495</v>
      </c>
      <c r="D24" s="4">
        <v>10</v>
      </c>
      <c r="E24" s="3" t="s">
        <v>18</v>
      </c>
      <c r="F24" s="3" t="s">
        <v>566</v>
      </c>
      <c r="G24" s="4" t="s">
        <v>567</v>
      </c>
      <c r="H24" s="4" t="b">
        <v>1</v>
      </c>
      <c r="I24" s="4" t="s">
        <v>16</v>
      </c>
      <c r="J24" s="5" t="s">
        <v>567</v>
      </c>
      <c r="K24" s="5" t="s">
        <v>495</v>
      </c>
      <c r="L24" s="5" t="s">
        <v>18</v>
      </c>
      <c r="M24" s="5" t="s">
        <v>568</v>
      </c>
      <c r="N24" s="2" t="s">
        <v>499</v>
      </c>
      <c r="O24" s="2" t="s">
        <v>500</v>
      </c>
      <c r="P24" s="2">
        <v>70629</v>
      </c>
      <c r="Q24" s="2" t="s">
        <v>501</v>
      </c>
      <c r="R24" s="2">
        <v>262</v>
      </c>
      <c r="S24" s="2">
        <v>160</v>
      </c>
      <c r="T24" s="2">
        <v>160</v>
      </c>
      <c r="U24" s="2">
        <v>0</v>
      </c>
      <c r="V24" s="2">
        <v>160</v>
      </c>
      <c r="W24" s="2">
        <v>81</v>
      </c>
      <c r="X24" s="2">
        <v>27</v>
      </c>
      <c r="Y24" s="2">
        <v>0</v>
      </c>
      <c r="Z24" s="2">
        <v>4</v>
      </c>
      <c r="AA24" s="2">
        <v>11</v>
      </c>
      <c r="AB24" s="2">
        <v>8</v>
      </c>
      <c r="AC24" s="2">
        <v>5</v>
      </c>
      <c r="AD24" s="2">
        <v>0</v>
      </c>
      <c r="AE24" s="2">
        <v>3</v>
      </c>
      <c r="AF24" s="2">
        <v>5</v>
      </c>
      <c r="AG24" s="2">
        <v>15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v>262</v>
      </c>
      <c r="AQ24" s="2">
        <v>161</v>
      </c>
      <c r="AR24" s="2">
        <v>161</v>
      </c>
      <c r="AS24" s="2">
        <v>1</v>
      </c>
      <c r="AT24" s="2">
        <v>160</v>
      </c>
      <c r="AU24" s="2">
        <v>1</v>
      </c>
      <c r="AV24" s="2">
        <v>2</v>
      </c>
      <c r="AW24" s="2">
        <v>2</v>
      </c>
      <c r="AX24" s="2">
        <v>19</v>
      </c>
      <c r="AY24" s="2">
        <v>5</v>
      </c>
      <c r="AZ24" s="2">
        <v>101</v>
      </c>
      <c r="BA24" s="2">
        <v>11</v>
      </c>
      <c r="BB24" s="2">
        <v>19</v>
      </c>
      <c r="BC24" s="11" t="s">
        <v>499</v>
      </c>
      <c r="BD24" s="11" t="s">
        <v>502</v>
      </c>
      <c r="BE24" s="11">
        <v>70629</v>
      </c>
      <c r="BF24" s="11" t="s">
        <v>501</v>
      </c>
      <c r="BG24" s="11">
        <v>10</v>
      </c>
      <c r="BH24" s="11">
        <v>257</v>
      </c>
      <c r="BI24" s="11">
        <v>169</v>
      </c>
      <c r="BJ24" s="11">
        <v>169</v>
      </c>
      <c r="BK24" s="11">
        <v>0</v>
      </c>
      <c r="BL24" s="11">
        <v>169</v>
      </c>
      <c r="BM24" s="11">
        <v>134</v>
      </c>
      <c r="BN24" s="11">
        <v>22</v>
      </c>
      <c r="BO24" s="11">
        <v>0</v>
      </c>
      <c r="BP24" s="11">
        <v>0</v>
      </c>
      <c r="BQ24" s="11">
        <v>5</v>
      </c>
      <c r="BR24" s="11">
        <v>0</v>
      </c>
      <c r="BS24" s="11">
        <v>5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3</v>
      </c>
      <c r="CA24" s="11">
        <v>0</v>
      </c>
      <c r="CB24" s="11">
        <v>0</v>
      </c>
      <c r="CC24" s="11">
        <v>0</v>
      </c>
      <c r="CD24" s="11">
        <v>0</v>
      </c>
      <c r="CE24">
        <v>156</v>
      </c>
      <c r="CF24">
        <v>5</v>
      </c>
      <c r="CG24">
        <v>5</v>
      </c>
      <c r="CH24">
        <v>3</v>
      </c>
      <c r="CI24">
        <v>0</v>
      </c>
      <c r="CJ24" s="14">
        <v>0.65758754863813229</v>
      </c>
      <c r="CK24" s="14">
        <v>0.92307692307692313</v>
      </c>
      <c r="CL24" s="14">
        <v>2.9585798816568046E-2</v>
      </c>
      <c r="CM24" s="14">
        <v>2.9585798816568046E-2</v>
      </c>
      <c r="CN24" s="14">
        <v>1.7751479289940829E-2</v>
      </c>
      <c r="CO24" s="14">
        <v>0</v>
      </c>
      <c r="CP24" s="30">
        <v>8</v>
      </c>
      <c r="CQ24" s="15">
        <v>112</v>
      </c>
      <c r="CR24">
        <v>33</v>
      </c>
      <c r="CS24">
        <v>15</v>
      </c>
      <c r="CU24">
        <v>0</v>
      </c>
      <c r="CV24" s="14">
        <v>0.61068702290076338</v>
      </c>
      <c r="CW24" s="14">
        <v>0.7</v>
      </c>
      <c r="CX24" s="14">
        <v>0.20624999999999999</v>
      </c>
      <c r="CY24" s="14">
        <v>9.375E-2</v>
      </c>
      <c r="CZ24" s="14">
        <v>0</v>
      </c>
      <c r="DA24" s="14">
        <v>0</v>
      </c>
      <c r="DB24" s="30">
        <v>3</v>
      </c>
      <c r="DC24" s="14" t="s">
        <v>487</v>
      </c>
      <c r="DD24" s="17" t="s">
        <v>439</v>
      </c>
      <c r="DE24" s="17" t="s">
        <v>435</v>
      </c>
      <c r="DF24" s="17" t="s">
        <v>441</v>
      </c>
      <c r="DG24" s="21">
        <v>54.28</v>
      </c>
      <c r="DH24" s="16">
        <v>257</v>
      </c>
      <c r="DI24" s="16">
        <v>0</v>
      </c>
      <c r="DJ24" s="16">
        <v>169</v>
      </c>
      <c r="DK24" s="23">
        <v>0.65758754863813229</v>
      </c>
      <c r="DL24" s="16">
        <v>0</v>
      </c>
      <c r="DM24">
        <v>0</v>
      </c>
      <c r="DN24" s="25"/>
      <c r="DO24" s="25"/>
      <c r="DP24" s="25"/>
      <c r="DQ24" s="26"/>
      <c r="DR24" s="26"/>
    </row>
    <row r="25" spans="1:122" ht="14.25" customHeight="1">
      <c r="A25" s="2">
        <v>5305</v>
      </c>
      <c r="B25" s="3" t="s">
        <v>494</v>
      </c>
      <c r="C25" s="3" t="s">
        <v>495</v>
      </c>
      <c r="D25" s="4">
        <v>11</v>
      </c>
      <c r="E25" s="3" t="s">
        <v>508</v>
      </c>
      <c r="F25" s="3" t="s">
        <v>569</v>
      </c>
      <c r="G25" s="4" t="s">
        <v>570</v>
      </c>
      <c r="H25" s="4" t="b">
        <v>1</v>
      </c>
      <c r="I25" s="4" t="s">
        <v>16</v>
      </c>
      <c r="J25" s="5" t="s">
        <v>570</v>
      </c>
      <c r="K25" s="5" t="s">
        <v>495</v>
      </c>
      <c r="L25" s="5" t="s">
        <v>508</v>
      </c>
      <c r="M25" s="5" t="s">
        <v>571</v>
      </c>
      <c r="N25" s="2" t="s">
        <v>499</v>
      </c>
      <c r="O25" s="2" t="s">
        <v>500</v>
      </c>
      <c r="P25" s="2">
        <v>70629</v>
      </c>
      <c r="Q25" s="2" t="s">
        <v>501</v>
      </c>
      <c r="R25" s="2">
        <v>143</v>
      </c>
      <c r="S25" s="2">
        <v>97</v>
      </c>
      <c r="T25" s="2">
        <v>97</v>
      </c>
      <c r="U25" s="2">
        <v>1</v>
      </c>
      <c r="V25" s="2">
        <v>96</v>
      </c>
      <c r="W25" s="2">
        <v>60</v>
      </c>
      <c r="X25" s="2">
        <v>13</v>
      </c>
      <c r="Y25" s="2">
        <v>0</v>
      </c>
      <c r="Z25" s="2">
        <v>1</v>
      </c>
      <c r="AA25" s="2">
        <v>8</v>
      </c>
      <c r="AB25" s="2">
        <v>9</v>
      </c>
      <c r="AC25" s="2">
        <v>0</v>
      </c>
      <c r="AD25" s="2">
        <v>0</v>
      </c>
      <c r="AE25" s="2">
        <v>1</v>
      </c>
      <c r="AF25" s="2">
        <v>1</v>
      </c>
      <c r="AG25" s="2">
        <v>1</v>
      </c>
      <c r="AH25" s="2">
        <v>0</v>
      </c>
      <c r="AI25" s="2">
        <v>0</v>
      </c>
      <c r="AJ25" s="2">
        <v>2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143</v>
      </c>
      <c r="AQ25" s="2">
        <v>97</v>
      </c>
      <c r="AR25" s="2">
        <v>97</v>
      </c>
      <c r="AS25" s="2">
        <v>1</v>
      </c>
      <c r="AT25" s="2">
        <v>96</v>
      </c>
      <c r="AU25" s="2">
        <v>0</v>
      </c>
      <c r="AV25" s="2">
        <v>1</v>
      </c>
      <c r="AW25" s="2">
        <v>1</v>
      </c>
      <c r="AX25" s="2">
        <v>8</v>
      </c>
      <c r="AY25" s="2">
        <v>0</v>
      </c>
      <c r="AZ25" s="2">
        <v>80</v>
      </c>
      <c r="BA25" s="2">
        <v>5</v>
      </c>
      <c r="BB25" s="2">
        <v>1</v>
      </c>
      <c r="BC25" s="11" t="s">
        <v>499</v>
      </c>
      <c r="BD25" s="11" t="s">
        <v>502</v>
      </c>
      <c r="BE25" s="11">
        <v>70629</v>
      </c>
      <c r="BF25" s="11" t="s">
        <v>501</v>
      </c>
      <c r="BG25" s="11">
        <v>11</v>
      </c>
      <c r="BH25" s="11">
        <v>137</v>
      </c>
      <c r="BI25" s="11">
        <v>100</v>
      </c>
      <c r="BJ25" s="11">
        <v>100</v>
      </c>
      <c r="BK25" s="11">
        <v>3</v>
      </c>
      <c r="BL25" s="11">
        <v>97</v>
      </c>
      <c r="BM25" s="11">
        <v>66</v>
      </c>
      <c r="BN25" s="11">
        <v>9</v>
      </c>
      <c r="BO25" s="11">
        <v>0</v>
      </c>
      <c r="BP25" s="11">
        <v>1</v>
      </c>
      <c r="BQ25" s="11">
        <v>8</v>
      </c>
      <c r="BR25" s="11">
        <v>0</v>
      </c>
      <c r="BS25" s="11">
        <v>11</v>
      </c>
      <c r="BT25" s="11">
        <v>0</v>
      </c>
      <c r="BU25" s="11">
        <v>0</v>
      </c>
      <c r="BV25" s="11">
        <v>0</v>
      </c>
      <c r="BW25" s="11">
        <v>1</v>
      </c>
      <c r="BX25" s="11">
        <v>0</v>
      </c>
      <c r="BY25" s="11">
        <v>0</v>
      </c>
      <c r="BZ25" s="11">
        <v>1</v>
      </c>
      <c r="CA25" s="11">
        <v>0</v>
      </c>
      <c r="CB25" s="11">
        <v>0</v>
      </c>
      <c r="CC25" s="11">
        <v>0</v>
      </c>
      <c r="CD25" s="11">
        <v>0</v>
      </c>
      <c r="CE25">
        <v>75</v>
      </c>
      <c r="CF25">
        <v>10</v>
      </c>
      <c r="CG25">
        <v>11</v>
      </c>
      <c r="CH25">
        <v>1</v>
      </c>
      <c r="CI25">
        <v>0</v>
      </c>
      <c r="CJ25" s="14">
        <v>0.72992700729927007</v>
      </c>
      <c r="CK25" s="14">
        <v>0.75</v>
      </c>
      <c r="CL25" s="14">
        <v>0.1</v>
      </c>
      <c r="CM25" s="14">
        <v>0.11</v>
      </c>
      <c r="CN25" s="14">
        <v>0.01</v>
      </c>
      <c r="CO25" s="14">
        <v>0</v>
      </c>
      <c r="CP25" s="30">
        <v>8</v>
      </c>
      <c r="CQ25" s="15">
        <v>74</v>
      </c>
      <c r="CR25">
        <v>11</v>
      </c>
      <c r="CS25">
        <v>11</v>
      </c>
      <c r="CU25">
        <v>0</v>
      </c>
      <c r="CV25" s="14">
        <v>0.67832167832167833</v>
      </c>
      <c r="CW25" s="14">
        <v>0.76288659793814428</v>
      </c>
      <c r="CX25" s="14">
        <v>0.1134020618556701</v>
      </c>
      <c r="CY25" s="14">
        <v>0.1134020618556701</v>
      </c>
      <c r="CZ25" s="14">
        <v>0</v>
      </c>
      <c r="DA25" s="14">
        <v>0</v>
      </c>
      <c r="DB25" s="30">
        <v>8</v>
      </c>
      <c r="DC25" s="14" t="s">
        <v>488</v>
      </c>
      <c r="DD25" s="17" t="s">
        <v>439</v>
      </c>
      <c r="DE25" s="17" t="s">
        <v>439</v>
      </c>
      <c r="DF25" s="17" t="s">
        <v>442</v>
      </c>
      <c r="DG25" s="21">
        <v>36.5</v>
      </c>
      <c r="DH25" s="16">
        <v>137</v>
      </c>
      <c r="DI25" s="16">
        <v>0</v>
      </c>
      <c r="DJ25" s="16">
        <v>100</v>
      </c>
      <c r="DK25" s="23">
        <v>0.72992700729927007</v>
      </c>
      <c r="DL25" s="16">
        <v>0</v>
      </c>
      <c r="DM25">
        <v>0</v>
      </c>
      <c r="DN25" s="25"/>
      <c r="DO25" s="25"/>
      <c r="DP25" s="25"/>
      <c r="DQ25" s="26"/>
      <c r="DR25" s="26"/>
    </row>
    <row r="26" spans="1:122" ht="14.25" customHeight="1">
      <c r="A26" s="2">
        <v>5306</v>
      </c>
      <c r="B26" s="3" t="s">
        <v>494</v>
      </c>
      <c r="C26" s="3" t="s">
        <v>495</v>
      </c>
      <c r="D26" s="4">
        <v>12</v>
      </c>
      <c r="E26" s="3" t="s">
        <v>17</v>
      </c>
      <c r="F26" s="3" t="s">
        <v>572</v>
      </c>
      <c r="G26" s="4" t="s">
        <v>573</v>
      </c>
      <c r="H26" s="4" t="b">
        <v>1</v>
      </c>
      <c r="I26" s="4" t="s">
        <v>16</v>
      </c>
      <c r="J26" s="5" t="s">
        <v>573</v>
      </c>
      <c r="K26" s="5" t="s">
        <v>495</v>
      </c>
      <c r="L26" s="5" t="s">
        <v>17</v>
      </c>
      <c r="M26" s="5" t="s">
        <v>574</v>
      </c>
      <c r="N26" s="2" t="s">
        <v>499</v>
      </c>
      <c r="O26" s="2" t="s">
        <v>500</v>
      </c>
      <c r="P26" s="2">
        <v>70629</v>
      </c>
      <c r="Q26" s="2" t="s">
        <v>501</v>
      </c>
      <c r="R26" s="2">
        <v>172</v>
      </c>
      <c r="S26" s="2">
        <v>124</v>
      </c>
      <c r="T26" s="2">
        <v>124</v>
      </c>
      <c r="U26" s="2">
        <v>2</v>
      </c>
      <c r="V26" s="2">
        <v>122</v>
      </c>
      <c r="W26" s="2">
        <v>78</v>
      </c>
      <c r="X26" s="2">
        <v>18</v>
      </c>
      <c r="Y26" s="2">
        <v>0</v>
      </c>
      <c r="Z26" s="2">
        <v>1</v>
      </c>
      <c r="AA26" s="2">
        <v>6</v>
      </c>
      <c r="AB26" s="2">
        <v>5</v>
      </c>
      <c r="AC26" s="2">
        <v>6</v>
      </c>
      <c r="AD26" s="2">
        <v>0</v>
      </c>
      <c r="AE26" s="2">
        <v>4</v>
      </c>
      <c r="AF26" s="2">
        <v>1</v>
      </c>
      <c r="AG26" s="2">
        <v>0</v>
      </c>
      <c r="AH26" s="2">
        <v>0</v>
      </c>
      <c r="AI26" s="2">
        <v>0</v>
      </c>
      <c r="AJ26" s="2">
        <v>3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172</v>
      </c>
      <c r="AQ26" s="2">
        <v>124</v>
      </c>
      <c r="AR26" s="2">
        <v>124</v>
      </c>
      <c r="AS26" s="2">
        <v>3</v>
      </c>
      <c r="AT26" s="2">
        <v>121</v>
      </c>
      <c r="AU26" s="2">
        <v>3</v>
      </c>
      <c r="AV26" s="2">
        <v>3</v>
      </c>
      <c r="AW26" s="2">
        <v>1</v>
      </c>
      <c r="AX26" s="2">
        <v>7</v>
      </c>
      <c r="AY26" s="2">
        <v>5</v>
      </c>
      <c r="AZ26" s="2">
        <v>95</v>
      </c>
      <c r="BA26" s="2">
        <v>5</v>
      </c>
      <c r="BB26" s="2">
        <v>2</v>
      </c>
      <c r="BC26" s="11" t="s">
        <v>499</v>
      </c>
      <c r="BD26" s="11" t="s">
        <v>502</v>
      </c>
      <c r="BE26" s="11">
        <v>70629</v>
      </c>
      <c r="BF26" s="11" t="s">
        <v>501</v>
      </c>
      <c r="BG26" s="11">
        <v>12</v>
      </c>
      <c r="BH26" s="11">
        <v>153</v>
      </c>
      <c r="BI26" s="11">
        <v>110</v>
      </c>
      <c r="BJ26" s="11">
        <v>110</v>
      </c>
      <c r="BK26" s="11">
        <v>3</v>
      </c>
      <c r="BL26" s="11">
        <v>107</v>
      </c>
      <c r="BM26" s="11">
        <v>74</v>
      </c>
      <c r="BN26" s="11">
        <v>8</v>
      </c>
      <c r="BO26" s="11">
        <v>4</v>
      </c>
      <c r="BP26" s="11">
        <v>2</v>
      </c>
      <c r="BQ26" s="11">
        <v>2</v>
      </c>
      <c r="BR26" s="11">
        <v>0</v>
      </c>
      <c r="BS26" s="11">
        <v>15</v>
      </c>
      <c r="BT26" s="11">
        <v>1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1</v>
      </c>
      <c r="CC26" s="11">
        <v>0</v>
      </c>
      <c r="CD26" s="11">
        <v>0</v>
      </c>
      <c r="CE26">
        <v>86</v>
      </c>
      <c r="CF26">
        <v>4</v>
      </c>
      <c r="CG26">
        <v>15</v>
      </c>
      <c r="CH26">
        <v>0</v>
      </c>
      <c r="CI26">
        <v>2</v>
      </c>
      <c r="CJ26" s="14">
        <v>0.71895424836601307</v>
      </c>
      <c r="CK26" s="14">
        <v>0.78181818181818186</v>
      </c>
      <c r="CL26" s="14">
        <v>3.6363636363636362E-2</v>
      </c>
      <c r="CM26" s="14">
        <v>0.13636363636363635</v>
      </c>
      <c r="CN26" s="14">
        <v>0</v>
      </c>
      <c r="CO26" s="14">
        <v>1.8181818181818181E-2</v>
      </c>
      <c r="CP26" s="30">
        <v>8</v>
      </c>
      <c r="CQ26" s="15">
        <v>97</v>
      </c>
      <c r="CR26">
        <v>12</v>
      </c>
      <c r="CS26">
        <v>13</v>
      </c>
      <c r="CU26">
        <v>0</v>
      </c>
      <c r="CV26" s="14">
        <v>0.72093023255813948</v>
      </c>
      <c r="CW26" s="14">
        <v>0.782258064516129</v>
      </c>
      <c r="CX26" s="14">
        <v>9.6774193548387094E-2</v>
      </c>
      <c r="CY26" s="14">
        <v>0.10483870967741936</v>
      </c>
      <c r="CZ26" s="14">
        <v>0</v>
      </c>
      <c r="DA26" s="14">
        <v>0</v>
      </c>
      <c r="DB26" s="30">
        <v>8</v>
      </c>
      <c r="DC26" s="14" t="s">
        <v>488</v>
      </c>
      <c r="DD26" s="17" t="s">
        <v>439</v>
      </c>
      <c r="DE26" s="17" t="s">
        <v>439</v>
      </c>
      <c r="DF26" s="17" t="s">
        <v>442</v>
      </c>
      <c r="DG26" s="21">
        <v>36.929999999999993</v>
      </c>
      <c r="DH26" s="16">
        <v>153</v>
      </c>
      <c r="DI26" s="16">
        <v>0</v>
      </c>
      <c r="DJ26" s="16">
        <v>110</v>
      </c>
      <c r="DK26" s="23">
        <v>0.71895424836601307</v>
      </c>
      <c r="DL26" s="16">
        <v>0</v>
      </c>
      <c r="DM26">
        <v>0</v>
      </c>
      <c r="DN26" s="25"/>
      <c r="DO26" s="25"/>
      <c r="DP26" s="25"/>
      <c r="DQ26" s="26"/>
      <c r="DR26" s="26"/>
    </row>
    <row r="27" spans="1:122" ht="14.25" customHeight="1">
      <c r="A27" s="2">
        <v>5307</v>
      </c>
      <c r="B27" s="3" t="s">
        <v>494</v>
      </c>
      <c r="C27" s="3" t="s">
        <v>495</v>
      </c>
      <c r="D27" s="4">
        <v>13</v>
      </c>
      <c r="E27" s="3" t="s">
        <v>508</v>
      </c>
      <c r="F27" s="3" t="s">
        <v>575</v>
      </c>
      <c r="G27" s="4" t="s">
        <v>576</v>
      </c>
      <c r="H27" s="4" t="b">
        <v>1</v>
      </c>
      <c r="I27" s="4" t="s">
        <v>16</v>
      </c>
      <c r="J27" s="5" t="s">
        <v>576</v>
      </c>
      <c r="K27" s="5" t="s">
        <v>495</v>
      </c>
      <c r="L27" s="5" t="s">
        <v>508</v>
      </c>
      <c r="M27" s="5" t="s">
        <v>577</v>
      </c>
      <c r="N27" s="2" t="s">
        <v>499</v>
      </c>
      <c r="O27" s="2" t="s">
        <v>500</v>
      </c>
      <c r="P27" s="2">
        <v>70629</v>
      </c>
      <c r="Q27" s="2" t="s">
        <v>501</v>
      </c>
      <c r="R27" s="2">
        <v>194</v>
      </c>
      <c r="S27" s="2">
        <v>120</v>
      </c>
      <c r="T27" s="2">
        <v>120</v>
      </c>
      <c r="U27" s="2">
        <v>2</v>
      </c>
      <c r="V27" s="2">
        <v>118</v>
      </c>
      <c r="W27" s="2">
        <v>53</v>
      </c>
      <c r="X27" s="2">
        <v>18</v>
      </c>
      <c r="Y27" s="2">
        <v>0</v>
      </c>
      <c r="Z27" s="2">
        <v>2</v>
      </c>
      <c r="AA27" s="2">
        <v>8</v>
      </c>
      <c r="AB27" s="2">
        <v>12</v>
      </c>
      <c r="AC27" s="2">
        <v>10</v>
      </c>
      <c r="AD27" s="2">
        <v>0</v>
      </c>
      <c r="AE27" s="2">
        <v>1</v>
      </c>
      <c r="AF27" s="2">
        <v>5</v>
      </c>
      <c r="AG27" s="2">
        <v>7</v>
      </c>
      <c r="AH27" s="2">
        <v>0</v>
      </c>
      <c r="AI27" s="2">
        <v>0</v>
      </c>
      <c r="AJ27" s="2">
        <v>2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194</v>
      </c>
      <c r="AQ27" s="2">
        <v>120</v>
      </c>
      <c r="AR27" s="2">
        <v>120</v>
      </c>
      <c r="AS27" s="2">
        <v>0</v>
      </c>
      <c r="AT27" s="2">
        <v>120</v>
      </c>
      <c r="AU27" s="2">
        <v>2</v>
      </c>
      <c r="AV27" s="2">
        <v>2</v>
      </c>
      <c r="AW27" s="2">
        <v>3</v>
      </c>
      <c r="AX27" s="2">
        <v>11</v>
      </c>
      <c r="AY27" s="2">
        <v>8</v>
      </c>
      <c r="AZ27" s="2">
        <v>69</v>
      </c>
      <c r="BA27" s="2">
        <v>18</v>
      </c>
      <c r="BB27" s="2">
        <v>7</v>
      </c>
      <c r="BC27" s="11" t="s">
        <v>499</v>
      </c>
      <c r="BD27" s="11" t="s">
        <v>502</v>
      </c>
      <c r="BE27" s="11">
        <v>70629</v>
      </c>
      <c r="BF27" s="11" t="s">
        <v>501</v>
      </c>
      <c r="BG27" s="11">
        <v>13</v>
      </c>
      <c r="BH27" s="11">
        <v>188</v>
      </c>
      <c r="BI27" s="11">
        <v>125</v>
      </c>
      <c r="BJ27" s="11">
        <v>125</v>
      </c>
      <c r="BK27" s="11">
        <v>1</v>
      </c>
      <c r="BL27" s="11">
        <v>124</v>
      </c>
      <c r="BM27" s="11">
        <v>73</v>
      </c>
      <c r="BN27" s="11">
        <v>9</v>
      </c>
      <c r="BO27" s="11">
        <v>4</v>
      </c>
      <c r="BP27" s="11">
        <v>3</v>
      </c>
      <c r="BQ27" s="11">
        <v>8</v>
      </c>
      <c r="BR27" s="11">
        <v>0</v>
      </c>
      <c r="BS27" s="11">
        <v>23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4</v>
      </c>
      <c r="CA27" s="11">
        <v>0</v>
      </c>
      <c r="CB27" s="11">
        <v>0</v>
      </c>
      <c r="CC27" s="11">
        <v>0</v>
      </c>
      <c r="CD27" s="11">
        <v>0</v>
      </c>
      <c r="CE27">
        <v>86</v>
      </c>
      <c r="CF27">
        <v>11</v>
      </c>
      <c r="CG27">
        <v>23</v>
      </c>
      <c r="CH27">
        <v>4</v>
      </c>
      <c r="CI27">
        <v>0</v>
      </c>
      <c r="CJ27" s="14">
        <v>0.66489361702127658</v>
      </c>
      <c r="CK27" s="14">
        <v>0.68799999999999994</v>
      </c>
      <c r="CL27" s="14">
        <v>8.7999999999999995E-2</v>
      </c>
      <c r="CM27" s="14">
        <v>0.184</v>
      </c>
      <c r="CN27" s="14">
        <v>3.2000000000000001E-2</v>
      </c>
      <c r="CO27" s="14">
        <v>0</v>
      </c>
      <c r="CP27" s="30">
        <v>8</v>
      </c>
      <c r="CQ27" s="15">
        <v>73</v>
      </c>
      <c r="CR27">
        <v>34</v>
      </c>
      <c r="CS27">
        <v>11</v>
      </c>
      <c r="CU27">
        <v>0</v>
      </c>
      <c r="CV27" s="14">
        <v>0.61855670103092786</v>
      </c>
      <c r="CW27" s="14">
        <v>0.60833333333333328</v>
      </c>
      <c r="CX27" s="14">
        <v>0.28333333333333333</v>
      </c>
      <c r="CY27" s="14">
        <v>9.166666666666666E-2</v>
      </c>
      <c r="CZ27" s="14">
        <v>0</v>
      </c>
      <c r="DA27" s="14">
        <v>0</v>
      </c>
      <c r="DB27" s="30">
        <v>3</v>
      </c>
      <c r="DC27" s="14" t="s">
        <v>487</v>
      </c>
      <c r="DD27" s="17" t="s">
        <v>439</v>
      </c>
      <c r="DE27" s="17" t="s">
        <v>435</v>
      </c>
      <c r="DF27" s="17" t="s">
        <v>441</v>
      </c>
      <c r="DG27" s="21">
        <v>59.84</v>
      </c>
      <c r="DH27" s="16">
        <v>188</v>
      </c>
      <c r="DI27" s="16">
        <v>0</v>
      </c>
      <c r="DJ27" s="16">
        <v>125</v>
      </c>
      <c r="DK27" s="23">
        <v>0.66489361702127658</v>
      </c>
      <c r="DL27" s="16">
        <v>0</v>
      </c>
      <c r="DM27">
        <v>0</v>
      </c>
      <c r="DN27" s="25"/>
      <c r="DO27" s="25"/>
      <c r="DP27" s="25"/>
      <c r="DQ27" s="26"/>
      <c r="DR27" s="26"/>
    </row>
    <row r="28" spans="1:122" ht="14.25" customHeight="1">
      <c r="A28" s="2">
        <v>5308</v>
      </c>
      <c r="B28" s="3" t="s">
        <v>494</v>
      </c>
      <c r="C28" s="3" t="s">
        <v>495</v>
      </c>
      <c r="D28" s="4">
        <v>14</v>
      </c>
      <c r="E28" s="3" t="s">
        <v>17</v>
      </c>
      <c r="F28" s="3" t="s">
        <v>578</v>
      </c>
      <c r="G28" s="4" t="s">
        <v>579</v>
      </c>
      <c r="H28" s="4" t="b">
        <v>1</v>
      </c>
      <c r="I28" s="4" t="s">
        <v>16</v>
      </c>
      <c r="J28" s="5" t="s">
        <v>579</v>
      </c>
      <c r="K28" s="5" t="s">
        <v>495</v>
      </c>
      <c r="L28" s="5" t="s">
        <v>17</v>
      </c>
      <c r="M28" s="5" t="s">
        <v>577</v>
      </c>
      <c r="N28" s="2" t="s">
        <v>499</v>
      </c>
      <c r="O28" s="2" t="s">
        <v>500</v>
      </c>
      <c r="P28" s="2">
        <v>70629</v>
      </c>
      <c r="Q28" s="2" t="s">
        <v>501</v>
      </c>
      <c r="R28" s="2">
        <v>386</v>
      </c>
      <c r="S28" s="2">
        <v>254</v>
      </c>
      <c r="T28" s="2">
        <v>254</v>
      </c>
      <c r="U28" s="2">
        <v>7</v>
      </c>
      <c r="V28" s="2">
        <v>247</v>
      </c>
      <c r="W28" s="2">
        <v>135</v>
      </c>
      <c r="X28" s="2">
        <v>41</v>
      </c>
      <c r="Y28" s="2">
        <v>0</v>
      </c>
      <c r="Z28" s="2">
        <v>3</v>
      </c>
      <c r="AA28" s="2">
        <v>10</v>
      </c>
      <c r="AB28" s="2">
        <v>20</v>
      </c>
      <c r="AC28" s="2">
        <v>12</v>
      </c>
      <c r="AD28" s="2">
        <v>1</v>
      </c>
      <c r="AE28" s="2">
        <v>5</v>
      </c>
      <c r="AF28" s="2">
        <v>10</v>
      </c>
      <c r="AG28" s="2">
        <v>8</v>
      </c>
      <c r="AH28" s="2">
        <v>0</v>
      </c>
      <c r="AI28" s="2">
        <v>0</v>
      </c>
      <c r="AJ28" s="2">
        <v>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386</v>
      </c>
      <c r="AQ28" s="2">
        <v>254</v>
      </c>
      <c r="AR28" s="2">
        <v>254</v>
      </c>
      <c r="AS28" s="2">
        <v>7</v>
      </c>
      <c r="AT28" s="2">
        <v>247</v>
      </c>
      <c r="AU28" s="2">
        <v>5</v>
      </c>
      <c r="AV28" s="2">
        <v>3</v>
      </c>
      <c r="AW28" s="2">
        <v>7</v>
      </c>
      <c r="AX28" s="2">
        <v>18</v>
      </c>
      <c r="AY28" s="2">
        <v>13</v>
      </c>
      <c r="AZ28" s="2">
        <v>167</v>
      </c>
      <c r="BA28" s="2">
        <v>25</v>
      </c>
      <c r="BB28" s="2">
        <v>9</v>
      </c>
      <c r="BC28" s="11" t="s">
        <v>499</v>
      </c>
      <c r="BD28" s="11" t="s">
        <v>502</v>
      </c>
      <c r="BE28" s="11">
        <v>70629</v>
      </c>
      <c r="BF28" s="11" t="s">
        <v>501</v>
      </c>
      <c r="BG28" s="11">
        <v>14</v>
      </c>
      <c r="BH28" s="11">
        <v>389</v>
      </c>
      <c r="BI28" s="11">
        <v>249</v>
      </c>
      <c r="BJ28" s="11">
        <v>249</v>
      </c>
      <c r="BK28" s="11">
        <v>11</v>
      </c>
      <c r="BL28" s="11">
        <v>238</v>
      </c>
      <c r="BM28" s="11">
        <v>129</v>
      </c>
      <c r="BN28" s="11">
        <v>19</v>
      </c>
      <c r="BO28" s="11">
        <v>3</v>
      </c>
      <c r="BP28" s="11">
        <v>8</v>
      </c>
      <c r="BQ28" s="11">
        <v>17</v>
      </c>
      <c r="BR28" s="11">
        <v>0</v>
      </c>
      <c r="BS28" s="11">
        <v>39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21</v>
      </c>
      <c r="CA28" s="11">
        <v>0</v>
      </c>
      <c r="CB28" s="11">
        <v>1</v>
      </c>
      <c r="CC28" s="11">
        <v>1</v>
      </c>
      <c r="CD28" s="11">
        <v>0</v>
      </c>
      <c r="CE28">
        <v>151</v>
      </c>
      <c r="CF28">
        <v>25</v>
      </c>
      <c r="CG28">
        <v>40</v>
      </c>
      <c r="CH28">
        <v>21</v>
      </c>
      <c r="CI28">
        <v>1</v>
      </c>
      <c r="CJ28" s="14">
        <v>0.64010282776349614</v>
      </c>
      <c r="CK28" s="14">
        <v>0.60642570281124497</v>
      </c>
      <c r="CL28" s="14">
        <v>0.10040160642570281</v>
      </c>
      <c r="CM28" s="14">
        <v>0.1606425702811245</v>
      </c>
      <c r="CN28" s="14">
        <v>8.4337349397590355E-2</v>
      </c>
      <c r="CO28" s="14">
        <v>4.0160642570281121E-3</v>
      </c>
      <c r="CP28" s="30">
        <v>4</v>
      </c>
      <c r="CQ28" s="15">
        <v>179</v>
      </c>
      <c r="CR28">
        <v>50</v>
      </c>
      <c r="CS28">
        <v>17</v>
      </c>
      <c r="CU28">
        <v>1</v>
      </c>
      <c r="CV28" s="14">
        <v>0.65803108808290156</v>
      </c>
      <c r="CW28" s="14">
        <v>0.70472440944881887</v>
      </c>
      <c r="CX28" s="14">
        <v>0.19685039370078741</v>
      </c>
      <c r="CY28" s="14">
        <v>6.6929133858267723E-2</v>
      </c>
      <c r="CZ28" s="14">
        <v>0</v>
      </c>
      <c r="DA28" s="14">
        <v>3.937007874015748E-3</v>
      </c>
      <c r="DB28" s="30">
        <v>3</v>
      </c>
      <c r="DC28" s="14" t="s">
        <v>491</v>
      </c>
      <c r="DD28" s="17" t="s">
        <v>436</v>
      </c>
      <c r="DE28" s="17" t="s">
        <v>435</v>
      </c>
      <c r="DF28" s="17" t="s">
        <v>492</v>
      </c>
      <c r="DG28" s="21">
        <v>130.06</v>
      </c>
      <c r="DH28" s="16">
        <v>389</v>
      </c>
      <c r="DI28" s="16">
        <v>0</v>
      </c>
      <c r="DJ28" s="16">
        <v>249</v>
      </c>
      <c r="DK28" s="23">
        <v>0.64010282776349614</v>
      </c>
      <c r="DL28" s="16">
        <v>0</v>
      </c>
      <c r="DM28">
        <v>0</v>
      </c>
      <c r="DN28" s="25"/>
      <c r="DO28" s="25"/>
      <c r="DP28" s="25"/>
      <c r="DQ28" s="26"/>
      <c r="DR28" s="26"/>
    </row>
    <row r="29" spans="1:122" ht="14.25" customHeight="1">
      <c r="A29" s="2">
        <v>5310</v>
      </c>
      <c r="B29" s="3" t="s">
        <v>494</v>
      </c>
      <c r="C29" s="3" t="s">
        <v>495</v>
      </c>
      <c r="D29" s="4">
        <v>16</v>
      </c>
      <c r="E29" s="3" t="s">
        <v>580</v>
      </c>
      <c r="F29" s="3" t="s">
        <v>581</v>
      </c>
      <c r="G29" s="4" t="s">
        <v>582</v>
      </c>
      <c r="H29" s="4" t="s">
        <v>16</v>
      </c>
      <c r="I29" s="4" t="s">
        <v>16</v>
      </c>
      <c r="J29" s="5" t="s">
        <v>582</v>
      </c>
      <c r="K29" s="5" t="s">
        <v>495</v>
      </c>
      <c r="L29" s="5" t="s">
        <v>583</v>
      </c>
      <c r="M29" s="5" t="s">
        <v>584</v>
      </c>
      <c r="N29" s="2" t="s">
        <v>499</v>
      </c>
      <c r="O29" s="2" t="s">
        <v>500</v>
      </c>
      <c r="P29" s="2">
        <v>70629</v>
      </c>
      <c r="Q29" s="2" t="s">
        <v>501</v>
      </c>
      <c r="R29" s="2">
        <v>148</v>
      </c>
      <c r="S29" s="2">
        <v>104</v>
      </c>
      <c r="T29" s="2">
        <v>104</v>
      </c>
      <c r="U29" s="2">
        <v>3</v>
      </c>
      <c r="V29" s="2">
        <v>101</v>
      </c>
      <c r="W29" s="2">
        <v>32</v>
      </c>
      <c r="X29" s="2">
        <v>21</v>
      </c>
      <c r="Y29" s="2">
        <v>0</v>
      </c>
      <c r="Z29" s="2">
        <v>2</v>
      </c>
      <c r="AA29" s="2">
        <v>4</v>
      </c>
      <c r="AB29" s="2">
        <v>10</v>
      </c>
      <c r="AC29" s="2">
        <v>4</v>
      </c>
      <c r="AD29" s="2">
        <v>0</v>
      </c>
      <c r="AE29" s="2">
        <v>18</v>
      </c>
      <c r="AF29" s="2">
        <v>0</v>
      </c>
      <c r="AG29" s="2">
        <v>8</v>
      </c>
      <c r="AH29" s="2">
        <v>0</v>
      </c>
      <c r="AI29" s="2">
        <v>0</v>
      </c>
      <c r="AJ29" s="2">
        <v>1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148</v>
      </c>
      <c r="AQ29" s="2">
        <v>104</v>
      </c>
      <c r="AR29" s="2">
        <v>104</v>
      </c>
      <c r="AS29" s="2">
        <v>2</v>
      </c>
      <c r="AT29" s="2">
        <v>102</v>
      </c>
      <c r="AU29" s="2">
        <v>1</v>
      </c>
      <c r="AV29" s="2">
        <v>11</v>
      </c>
      <c r="AW29" s="2">
        <v>2</v>
      </c>
      <c r="AX29" s="2">
        <v>9</v>
      </c>
      <c r="AY29" s="2">
        <v>2</v>
      </c>
      <c r="AZ29" s="2">
        <v>53</v>
      </c>
      <c r="BA29" s="2">
        <v>12</v>
      </c>
      <c r="BB29" s="2">
        <v>12</v>
      </c>
      <c r="BC29" s="11" t="s">
        <v>499</v>
      </c>
      <c r="BD29" s="11" t="s">
        <v>502</v>
      </c>
      <c r="BE29" s="11">
        <v>70629</v>
      </c>
      <c r="BF29" s="11" t="s">
        <v>501</v>
      </c>
      <c r="BG29" s="11">
        <v>16</v>
      </c>
      <c r="BH29" s="11">
        <v>156</v>
      </c>
      <c r="BI29" s="11">
        <v>112</v>
      </c>
      <c r="BJ29" s="11">
        <v>112</v>
      </c>
      <c r="BK29" s="11">
        <v>6</v>
      </c>
      <c r="BL29" s="11">
        <v>106</v>
      </c>
      <c r="BM29" s="11">
        <v>49</v>
      </c>
      <c r="BN29" s="11">
        <v>11</v>
      </c>
      <c r="BO29" s="11">
        <v>1</v>
      </c>
      <c r="BP29" s="11">
        <v>3</v>
      </c>
      <c r="BQ29" s="11">
        <v>9</v>
      </c>
      <c r="BR29" s="11">
        <v>0</v>
      </c>
      <c r="BS29" s="11">
        <v>29</v>
      </c>
      <c r="BT29" s="11">
        <v>0</v>
      </c>
      <c r="BU29" s="11">
        <v>0</v>
      </c>
      <c r="BV29" s="11">
        <v>0</v>
      </c>
      <c r="BW29" s="11">
        <v>0</v>
      </c>
      <c r="BX29" s="11">
        <v>1</v>
      </c>
      <c r="BY29" s="11">
        <v>0</v>
      </c>
      <c r="BZ29" s="11">
        <v>2</v>
      </c>
      <c r="CA29" s="11">
        <v>0</v>
      </c>
      <c r="CB29" s="11">
        <v>1</v>
      </c>
      <c r="CC29" s="11">
        <v>0</v>
      </c>
      <c r="CD29" s="11">
        <v>0</v>
      </c>
      <c r="CE29">
        <v>61</v>
      </c>
      <c r="CF29">
        <v>12</v>
      </c>
      <c r="CG29">
        <v>30</v>
      </c>
      <c r="CH29">
        <v>2</v>
      </c>
      <c r="CI29">
        <v>1</v>
      </c>
      <c r="CJ29" s="14">
        <v>0.71794871794871795</v>
      </c>
      <c r="CK29" s="14">
        <v>0.5446428571428571</v>
      </c>
      <c r="CL29" s="14">
        <v>0.10714285714285714</v>
      </c>
      <c r="CM29" s="14">
        <v>0.26785714285714285</v>
      </c>
      <c r="CN29" s="14">
        <v>1.7857142857142856E-2</v>
      </c>
      <c r="CO29" s="14">
        <v>8.9285714285714281E-3</v>
      </c>
      <c r="CP29" s="30">
        <v>7</v>
      </c>
      <c r="CQ29" s="15">
        <v>55</v>
      </c>
      <c r="CR29">
        <v>22</v>
      </c>
      <c r="CS29">
        <v>24</v>
      </c>
      <c r="CU29">
        <v>0</v>
      </c>
      <c r="CV29" s="14">
        <v>0.70270270270270274</v>
      </c>
      <c r="CW29" s="14">
        <v>0.52884615384615385</v>
      </c>
      <c r="CX29" s="14">
        <v>0.21153846153846154</v>
      </c>
      <c r="CY29" s="14">
        <v>0.23076923076923078</v>
      </c>
      <c r="CZ29" s="14">
        <v>0</v>
      </c>
      <c r="DA29" s="14">
        <v>0</v>
      </c>
      <c r="DB29" s="30">
        <v>3</v>
      </c>
      <c r="DC29" s="14" t="s">
        <v>585</v>
      </c>
      <c r="DD29" s="17" t="s">
        <v>586</v>
      </c>
      <c r="DE29" s="17" t="s">
        <v>435</v>
      </c>
      <c r="DF29" s="17" t="s">
        <v>587</v>
      </c>
      <c r="DG29" s="21">
        <v>57.510000000000005</v>
      </c>
      <c r="DH29" s="16">
        <v>156</v>
      </c>
      <c r="DI29" s="16">
        <v>0</v>
      </c>
      <c r="DJ29" s="16">
        <v>112</v>
      </c>
      <c r="DK29" s="23">
        <v>0.71794871794871795</v>
      </c>
      <c r="DL29" s="16">
        <v>0</v>
      </c>
      <c r="DM29">
        <v>0</v>
      </c>
      <c r="DN29" s="25"/>
      <c r="DO29" s="25"/>
      <c r="DP29" s="25"/>
      <c r="DQ29" s="26"/>
      <c r="DR29" s="26"/>
    </row>
    <row r="30" spans="1:122" ht="14.25" customHeight="1">
      <c r="A30" s="2">
        <v>5314</v>
      </c>
      <c r="B30" s="3" t="s">
        <v>494</v>
      </c>
      <c r="C30" s="3" t="s">
        <v>495</v>
      </c>
      <c r="D30" s="4">
        <v>20</v>
      </c>
      <c r="E30" s="3" t="s">
        <v>18</v>
      </c>
      <c r="F30" s="3" t="s">
        <v>588</v>
      </c>
      <c r="G30" s="4" t="s">
        <v>589</v>
      </c>
      <c r="H30" s="4" t="b">
        <v>1</v>
      </c>
      <c r="I30" s="4" t="s">
        <v>16</v>
      </c>
      <c r="J30" s="5" t="s">
        <v>589</v>
      </c>
      <c r="K30" s="5" t="s">
        <v>495</v>
      </c>
      <c r="L30" s="5" t="s">
        <v>18</v>
      </c>
      <c r="M30" s="5" t="s">
        <v>531</v>
      </c>
      <c r="N30" s="2" t="s">
        <v>499</v>
      </c>
      <c r="O30" s="2" t="s">
        <v>500</v>
      </c>
      <c r="P30" s="2">
        <v>70629</v>
      </c>
      <c r="Q30" s="2" t="s">
        <v>501</v>
      </c>
      <c r="R30" s="2">
        <v>205</v>
      </c>
      <c r="S30" s="2">
        <v>140</v>
      </c>
      <c r="T30" s="2">
        <v>140</v>
      </c>
      <c r="U30" s="2">
        <v>1</v>
      </c>
      <c r="V30" s="2">
        <v>139</v>
      </c>
      <c r="W30" s="2">
        <v>117</v>
      </c>
      <c r="X30" s="2">
        <v>15</v>
      </c>
      <c r="Y30" s="2">
        <v>0</v>
      </c>
      <c r="Z30" s="2">
        <v>0</v>
      </c>
      <c r="AA30" s="2">
        <v>0</v>
      </c>
      <c r="AB30" s="2">
        <v>2</v>
      </c>
      <c r="AC30" s="2">
        <v>0</v>
      </c>
      <c r="AD30" s="2">
        <v>0</v>
      </c>
      <c r="AE30" s="2">
        <v>1</v>
      </c>
      <c r="AF30" s="2">
        <v>0</v>
      </c>
      <c r="AG30" s="2">
        <v>3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  <c r="AO30" s="2">
        <v>0</v>
      </c>
      <c r="AP30" s="2">
        <v>205</v>
      </c>
      <c r="AQ30" s="2">
        <v>158</v>
      </c>
      <c r="AR30" s="2">
        <v>158</v>
      </c>
      <c r="AS30" s="2">
        <v>7</v>
      </c>
      <c r="AT30" s="2">
        <v>151</v>
      </c>
      <c r="AU30" s="2">
        <v>2</v>
      </c>
      <c r="AV30" s="2">
        <v>2</v>
      </c>
      <c r="AW30" s="2">
        <v>2</v>
      </c>
      <c r="AX30" s="2">
        <v>5</v>
      </c>
      <c r="AY30" s="2">
        <v>1</v>
      </c>
      <c r="AZ30" s="2">
        <v>123</v>
      </c>
      <c r="BA30" s="2">
        <v>8</v>
      </c>
      <c r="BB30" s="2">
        <v>8</v>
      </c>
      <c r="BC30" s="11" t="s">
        <v>499</v>
      </c>
      <c r="BD30" s="11" t="s">
        <v>502</v>
      </c>
      <c r="BE30" s="11">
        <v>70629</v>
      </c>
      <c r="BF30" s="11" t="s">
        <v>501</v>
      </c>
      <c r="BG30" s="11">
        <v>20</v>
      </c>
      <c r="BH30" s="11">
        <v>190</v>
      </c>
      <c r="BI30" s="11">
        <v>152</v>
      </c>
      <c r="BJ30" s="11">
        <v>152</v>
      </c>
      <c r="BK30" s="11">
        <v>4</v>
      </c>
      <c r="BL30" s="11">
        <v>148</v>
      </c>
      <c r="BM30" s="11">
        <v>114</v>
      </c>
      <c r="BN30" s="11">
        <v>15</v>
      </c>
      <c r="BO30" s="11">
        <v>0</v>
      </c>
      <c r="BP30" s="11">
        <v>3</v>
      </c>
      <c r="BQ30" s="11">
        <v>8</v>
      </c>
      <c r="BR30" s="11">
        <v>0</v>
      </c>
      <c r="BS30" s="11">
        <v>6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2</v>
      </c>
      <c r="CA30" s="11">
        <v>0</v>
      </c>
      <c r="CB30" s="11">
        <v>0</v>
      </c>
      <c r="CC30" s="11">
        <v>0</v>
      </c>
      <c r="CD30" s="11">
        <v>0</v>
      </c>
      <c r="CE30">
        <v>129</v>
      </c>
      <c r="CF30">
        <v>11</v>
      </c>
      <c r="CG30">
        <v>6</v>
      </c>
      <c r="CH30">
        <v>2</v>
      </c>
      <c r="CI30">
        <v>0</v>
      </c>
      <c r="CJ30" s="14">
        <v>0.8</v>
      </c>
      <c r="CK30" s="14">
        <v>0.84868421052631582</v>
      </c>
      <c r="CL30" s="14">
        <v>7.2368421052631582E-2</v>
      </c>
      <c r="CM30" s="14">
        <v>3.9473684210526314E-2</v>
      </c>
      <c r="CN30" s="14">
        <v>1.3157894736842105E-2</v>
      </c>
      <c r="CO30" s="14">
        <v>0</v>
      </c>
      <c r="CP30" s="30">
        <v>8</v>
      </c>
      <c r="CQ30" s="15">
        <v>132</v>
      </c>
      <c r="CR30">
        <v>5</v>
      </c>
      <c r="CS30">
        <v>1</v>
      </c>
      <c r="CU30">
        <v>1</v>
      </c>
      <c r="CV30" s="14">
        <v>0.68292682926829273</v>
      </c>
      <c r="CW30" s="14">
        <v>0.94285714285714284</v>
      </c>
      <c r="CX30" s="14">
        <v>3.5714285714285712E-2</v>
      </c>
      <c r="CY30" s="14">
        <v>7.1428571428571426E-3</v>
      </c>
      <c r="CZ30" s="14">
        <v>0</v>
      </c>
      <c r="DA30" s="14">
        <v>7.1428571428571426E-3</v>
      </c>
      <c r="DB30" s="30">
        <v>8</v>
      </c>
      <c r="DC30" s="14" t="s">
        <v>488</v>
      </c>
      <c r="DD30" s="17" t="s">
        <v>439</v>
      </c>
      <c r="DE30" s="17" t="s">
        <v>439</v>
      </c>
      <c r="DF30" s="17" t="s">
        <v>442</v>
      </c>
      <c r="DG30" s="21">
        <v>35.76</v>
      </c>
      <c r="DH30" s="16">
        <v>190</v>
      </c>
      <c r="DI30" s="16">
        <v>0</v>
      </c>
      <c r="DJ30" s="16">
        <v>152</v>
      </c>
      <c r="DK30" s="23">
        <v>0.8</v>
      </c>
      <c r="DL30" s="16">
        <v>0</v>
      </c>
      <c r="DM30">
        <v>0</v>
      </c>
      <c r="DN30" s="25"/>
      <c r="DO30" s="25"/>
      <c r="DP30" s="25"/>
      <c r="DQ30" s="26"/>
      <c r="DR30" s="26"/>
    </row>
    <row r="31" spans="1:122" ht="14.25" customHeight="1">
      <c r="A31" s="2">
        <v>5316</v>
      </c>
      <c r="B31" s="3" t="s">
        <v>494</v>
      </c>
      <c r="C31" s="3" t="s">
        <v>495</v>
      </c>
      <c r="D31" s="4">
        <v>22</v>
      </c>
      <c r="E31" s="3" t="s">
        <v>590</v>
      </c>
      <c r="F31" s="3" t="s">
        <v>591</v>
      </c>
      <c r="G31" s="4" t="s">
        <v>592</v>
      </c>
      <c r="H31" s="4" t="s">
        <v>16</v>
      </c>
      <c r="I31" s="4" t="s">
        <v>16</v>
      </c>
      <c r="J31" s="5" t="s">
        <v>592</v>
      </c>
      <c r="K31" s="5" t="s">
        <v>495</v>
      </c>
      <c r="L31" s="5" t="s">
        <v>593</v>
      </c>
      <c r="M31" s="5" t="s">
        <v>594</v>
      </c>
      <c r="N31" s="2" t="s">
        <v>499</v>
      </c>
      <c r="O31" s="2" t="s">
        <v>500</v>
      </c>
      <c r="P31" s="2">
        <v>70629</v>
      </c>
      <c r="Q31" s="2" t="s">
        <v>501</v>
      </c>
      <c r="R31" s="2">
        <v>108</v>
      </c>
      <c r="S31" s="2">
        <v>84</v>
      </c>
      <c r="T31" s="2">
        <v>84</v>
      </c>
      <c r="U31" s="2">
        <v>1</v>
      </c>
      <c r="V31" s="2">
        <v>83</v>
      </c>
      <c r="W31" s="2">
        <v>49</v>
      </c>
      <c r="X31" s="2">
        <v>12</v>
      </c>
      <c r="Y31" s="2">
        <v>0</v>
      </c>
      <c r="Z31" s="2">
        <v>2</v>
      </c>
      <c r="AA31" s="2">
        <v>6</v>
      </c>
      <c r="AB31" s="2">
        <v>2</v>
      </c>
      <c r="AC31" s="2">
        <v>1</v>
      </c>
      <c r="AD31" s="2">
        <v>0</v>
      </c>
      <c r="AE31" s="2">
        <v>0</v>
      </c>
      <c r="AF31" s="2">
        <v>2</v>
      </c>
      <c r="AG31" s="2">
        <v>8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108</v>
      </c>
      <c r="AQ31" s="2">
        <v>84</v>
      </c>
      <c r="AR31" s="2">
        <v>84</v>
      </c>
      <c r="AS31" s="2">
        <v>0</v>
      </c>
      <c r="AT31" s="2">
        <v>84</v>
      </c>
      <c r="AU31" s="2">
        <v>0</v>
      </c>
      <c r="AV31" s="2">
        <v>1</v>
      </c>
      <c r="AW31" s="2">
        <v>1</v>
      </c>
      <c r="AX31" s="2">
        <v>12</v>
      </c>
      <c r="AY31" s="2">
        <v>3</v>
      </c>
      <c r="AZ31" s="2">
        <v>60</v>
      </c>
      <c r="BA31" s="2">
        <v>2</v>
      </c>
      <c r="BB31" s="2">
        <v>5</v>
      </c>
      <c r="BC31" s="11" t="s">
        <v>499</v>
      </c>
      <c r="BD31" s="11" t="s">
        <v>502</v>
      </c>
      <c r="BE31" s="11">
        <v>70629</v>
      </c>
      <c r="BF31" s="11" t="s">
        <v>501</v>
      </c>
      <c r="BG31" s="11">
        <v>22</v>
      </c>
      <c r="BH31" s="11">
        <v>97</v>
      </c>
      <c r="BI31" s="11">
        <v>76</v>
      </c>
      <c r="BJ31" s="11">
        <v>76</v>
      </c>
      <c r="BK31" s="11">
        <v>1</v>
      </c>
      <c r="BL31" s="11">
        <v>75</v>
      </c>
      <c r="BM31" s="11">
        <v>52</v>
      </c>
      <c r="BN31" s="11">
        <v>8</v>
      </c>
      <c r="BO31" s="11">
        <v>2</v>
      </c>
      <c r="BP31" s="11">
        <v>5</v>
      </c>
      <c r="BQ31" s="11">
        <v>2</v>
      </c>
      <c r="BR31" s="11">
        <v>0</v>
      </c>
      <c r="BS31" s="11">
        <v>6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>
        <v>62</v>
      </c>
      <c r="CF31">
        <v>7</v>
      </c>
      <c r="CG31">
        <v>6</v>
      </c>
      <c r="CH31">
        <v>0</v>
      </c>
      <c r="CI31">
        <v>0</v>
      </c>
      <c r="CJ31" s="14">
        <v>0.78350515463917525</v>
      </c>
      <c r="CK31" s="14">
        <v>0.81578947368421051</v>
      </c>
      <c r="CL31" s="14">
        <v>9.2105263157894732E-2</v>
      </c>
      <c r="CM31" s="14">
        <v>7.8947368421052627E-2</v>
      </c>
      <c r="CN31" s="14">
        <v>0</v>
      </c>
      <c r="CO31" s="14">
        <v>0</v>
      </c>
      <c r="CP31" s="30">
        <v>8</v>
      </c>
      <c r="CQ31" s="15">
        <v>63</v>
      </c>
      <c r="CR31">
        <v>13</v>
      </c>
      <c r="CS31">
        <v>7</v>
      </c>
      <c r="CU31">
        <v>0</v>
      </c>
      <c r="CV31" s="14">
        <v>0.77777777777777779</v>
      </c>
      <c r="CW31" s="14">
        <v>0.75</v>
      </c>
      <c r="CX31" s="14">
        <v>0.15476190476190477</v>
      </c>
      <c r="CY31" s="14">
        <v>8.3333333333333329E-2</v>
      </c>
      <c r="CZ31" s="14">
        <v>0</v>
      </c>
      <c r="DA31" s="14">
        <v>0</v>
      </c>
      <c r="DB31" s="30">
        <v>8</v>
      </c>
      <c r="DC31" s="14" t="s">
        <v>488</v>
      </c>
      <c r="DD31" s="17" t="s">
        <v>439</v>
      </c>
      <c r="DE31" s="17" t="s">
        <v>439</v>
      </c>
      <c r="DF31" s="17" t="s">
        <v>442</v>
      </c>
      <c r="DG31" s="21">
        <v>20.6</v>
      </c>
      <c r="DH31" s="16">
        <v>97</v>
      </c>
      <c r="DI31" s="16">
        <v>0</v>
      </c>
      <c r="DJ31" s="16">
        <v>76</v>
      </c>
      <c r="DK31" s="23">
        <v>0.78350515463917525</v>
      </c>
      <c r="DL31" s="16">
        <v>0</v>
      </c>
      <c r="DM31">
        <v>0</v>
      </c>
      <c r="DN31" s="25"/>
      <c r="DO31" s="25"/>
      <c r="DP31" s="25"/>
      <c r="DQ31" s="26"/>
      <c r="DR31" s="26"/>
    </row>
    <row r="33" spans="83:99">
      <c r="CE33">
        <f>SUM(CE3:CE31)</f>
        <v>3547</v>
      </c>
      <c r="CF33">
        <f t="shared" ref="CF33:CI33" si="0">SUM(CF3:CF31)</f>
        <v>758</v>
      </c>
      <c r="CG33">
        <f t="shared" si="0"/>
        <v>1429</v>
      </c>
      <c r="CH33">
        <f t="shared" si="0"/>
        <v>279</v>
      </c>
      <c r="CI33">
        <f t="shared" si="0"/>
        <v>36</v>
      </c>
      <c r="CQ33">
        <f>SUM(CQ3:CQ31)</f>
        <v>3623</v>
      </c>
      <c r="CR33">
        <f t="shared" ref="CR33:CU33" si="1">SUM(CR3:CR31)</f>
        <v>1296</v>
      </c>
      <c r="CS33">
        <f t="shared" si="1"/>
        <v>1015</v>
      </c>
      <c r="CT33">
        <f>SUM(CT3:CT31)</f>
        <v>0</v>
      </c>
      <c r="CU33">
        <f t="shared" si="1"/>
        <v>35</v>
      </c>
    </row>
  </sheetData>
  <mergeCells count="5">
    <mergeCell ref="B1:I1"/>
    <mergeCell ref="J1:M1"/>
    <mergeCell ref="R1:AO1"/>
    <mergeCell ref="AP1:BB1"/>
    <mergeCell ref="BC1:CD1"/>
  </mergeCells>
  <conditionalFormatting sqref="H2:I31">
    <cfRule type="containsText" dxfId="13" priority="7" operator="containsText" text="&quot;FALSE&quot;">
      <formula>NOT(ISERROR(SEARCH(("""FALSE"""),(H2))))</formula>
    </cfRule>
  </conditionalFormatting>
  <conditionalFormatting sqref="DF1:DF31">
    <cfRule type="cellIs" dxfId="12" priority="1" operator="equal">
      <formula>"Bilo je SPN ubija otišlo na SPN ubija"</formula>
    </cfRule>
    <cfRule type="containsText" dxfId="11" priority="2" operator="containsText" text="otišlo na SPN ubija">
      <formula>NOT(ISERROR(SEARCH("otišlo na SPN ubija",DF1)))</formula>
    </cfRule>
    <cfRule type="containsText" dxfId="10" priority="3" operator="containsText" text="otišlo na SPN donekle ubija">
      <formula>NOT(ISERROR(SEARCH("otišlo na SPN donekle ubija",DF1)))</formula>
    </cfRule>
    <cfRule type="containsText" dxfId="9" priority="4" operator="containsText" text="otišlo na Desnicari jaki">
      <formula>NOT(ISERROR(SEARCH("otišlo na Desnicari jaki",DF1)))</formula>
    </cfRule>
    <cfRule type="containsText" dxfId="8" priority="5" operator="containsText" text="otišlo na Duboka apstinencija">
      <formula>NOT(ISERROR(SEARCH("otišlo na Duboka apstinencija",DF1)))</formula>
    </cfRule>
    <cfRule type="containsText" dxfId="7" priority="6" operator="containsText" text="otišlo na Plitka apstinencija">
      <formula>NOT(ISERROR(SEARCH("otišlo na Plitka apstinencija",DF1)))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0B81-6922-4BF5-864D-0490E368145F}">
  <dimension ref="A1:DY76"/>
  <sheetViews>
    <sheetView topLeftCell="D1" workbookViewId="0">
      <pane xSplit="1" topLeftCell="CA1" activePane="topRight" state="frozen"/>
      <selection activeCell="D1" sqref="D1"/>
      <selection pane="topRight" activeCell="F35" sqref="F35"/>
    </sheetView>
  </sheetViews>
  <sheetFormatPr defaultRowHeight="14.6"/>
  <cols>
    <col min="2" max="2" width="24.4609375" customWidth="1"/>
  </cols>
  <sheetData>
    <row r="1" spans="1:129" ht="18" customHeight="1">
      <c r="A1" s="1"/>
      <c r="B1" s="136" t="s">
        <v>0</v>
      </c>
      <c r="C1" s="136"/>
      <c r="D1" s="136"/>
      <c r="E1" s="136"/>
      <c r="F1" s="136"/>
      <c r="G1" s="136"/>
      <c r="H1" s="136"/>
      <c r="I1" s="136"/>
      <c r="J1" s="137" t="s">
        <v>1</v>
      </c>
      <c r="K1" s="137"/>
      <c r="L1" s="137"/>
      <c r="M1" s="137"/>
      <c r="N1" s="1"/>
      <c r="O1" s="1"/>
      <c r="P1" s="1"/>
      <c r="Q1" s="1"/>
      <c r="R1" s="138" t="s">
        <v>403</v>
      </c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 t="s">
        <v>404</v>
      </c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9" t="s">
        <v>426</v>
      </c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DE1" s="17"/>
      <c r="DF1" s="17"/>
      <c r="DG1" s="17"/>
      <c r="DH1" s="19"/>
      <c r="DI1" s="16"/>
      <c r="DJ1" s="16"/>
      <c r="DK1" s="16"/>
      <c r="DL1" s="16"/>
      <c r="DM1" s="16"/>
    </row>
    <row r="2" spans="1:129" s="11" customFormat="1" ht="54.65" customHeight="1">
      <c r="A2" s="6" t="s">
        <v>361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8" t="s">
        <v>7</v>
      </c>
      <c r="K2" s="8" t="s">
        <v>10</v>
      </c>
      <c r="L2" s="8" t="s">
        <v>5</v>
      </c>
      <c r="M2" s="8" t="s">
        <v>11</v>
      </c>
      <c r="N2" s="7" t="s">
        <v>362</v>
      </c>
      <c r="O2" s="7" t="s">
        <v>363</v>
      </c>
      <c r="P2" s="7" t="s">
        <v>364</v>
      </c>
      <c r="Q2" s="7" t="s">
        <v>365</v>
      </c>
      <c r="R2" s="7" t="s">
        <v>366</v>
      </c>
      <c r="S2" s="7" t="s">
        <v>367</v>
      </c>
      <c r="T2" s="7" t="s">
        <v>368</v>
      </c>
      <c r="U2" s="7" t="s">
        <v>369</v>
      </c>
      <c r="V2" s="7" t="s">
        <v>370</v>
      </c>
      <c r="W2" s="7" t="s">
        <v>371</v>
      </c>
      <c r="X2" s="7" t="s">
        <v>372</v>
      </c>
      <c r="Y2" s="7" t="s">
        <v>373</v>
      </c>
      <c r="Z2" s="7" t="s">
        <v>374</v>
      </c>
      <c r="AA2" s="7" t="s">
        <v>375</v>
      </c>
      <c r="AB2" s="7" t="s">
        <v>376</v>
      </c>
      <c r="AC2" s="7" t="s">
        <v>377</v>
      </c>
      <c r="AD2" s="7" t="s">
        <v>378</v>
      </c>
      <c r="AE2" s="7" t="s">
        <v>379</v>
      </c>
      <c r="AF2" s="7" t="s">
        <v>380</v>
      </c>
      <c r="AG2" s="7" t="s">
        <v>381</v>
      </c>
      <c r="AH2" s="7" t="s">
        <v>382</v>
      </c>
      <c r="AI2" s="7" t="s">
        <v>383</v>
      </c>
      <c r="AJ2" s="7" t="s">
        <v>384</v>
      </c>
      <c r="AK2" s="7" t="s">
        <v>385</v>
      </c>
      <c r="AL2" s="7" t="s">
        <v>386</v>
      </c>
      <c r="AM2" s="7" t="s">
        <v>387</v>
      </c>
      <c r="AN2" s="7" t="s">
        <v>388</v>
      </c>
      <c r="AO2" s="7" t="s">
        <v>389</v>
      </c>
      <c r="AP2" s="10" t="s">
        <v>366</v>
      </c>
      <c r="AQ2" s="10" t="s">
        <v>367</v>
      </c>
      <c r="AR2" s="10" t="s">
        <v>368</v>
      </c>
      <c r="AS2" s="10" t="s">
        <v>390</v>
      </c>
      <c r="AT2" s="10" t="s">
        <v>370</v>
      </c>
      <c r="AU2" s="10" t="s">
        <v>391</v>
      </c>
      <c r="AV2" s="10" t="s">
        <v>392</v>
      </c>
      <c r="AW2" s="10" t="s">
        <v>393</v>
      </c>
      <c r="AX2" s="10" t="s">
        <v>394</v>
      </c>
      <c r="AY2" s="10" t="s">
        <v>395</v>
      </c>
      <c r="AZ2" s="10" t="s">
        <v>396</v>
      </c>
      <c r="BA2" s="10" t="s">
        <v>397</v>
      </c>
      <c r="BB2" s="12" t="s">
        <v>398</v>
      </c>
      <c r="BC2" s="13" t="s">
        <v>362</v>
      </c>
      <c r="BD2" s="13" t="s">
        <v>363</v>
      </c>
      <c r="BE2" s="13" t="s">
        <v>364</v>
      </c>
      <c r="BF2" s="13" t="s">
        <v>365</v>
      </c>
      <c r="BG2" s="13" t="s">
        <v>405</v>
      </c>
      <c r="BH2" s="13" t="s">
        <v>366</v>
      </c>
      <c r="BI2" s="13" t="s">
        <v>367</v>
      </c>
      <c r="BJ2" s="13" t="s">
        <v>406</v>
      </c>
      <c r="BK2" s="13" t="s">
        <v>369</v>
      </c>
      <c r="BL2" s="13" t="s">
        <v>370</v>
      </c>
      <c r="BM2" s="13" t="s">
        <v>407</v>
      </c>
      <c r="BN2" s="13" t="s">
        <v>408</v>
      </c>
      <c r="BO2" s="13" t="s">
        <v>374</v>
      </c>
      <c r="BP2" s="13" t="s">
        <v>409</v>
      </c>
      <c r="BQ2" s="13" t="s">
        <v>410</v>
      </c>
      <c r="BR2" s="13" t="s">
        <v>411</v>
      </c>
      <c r="BS2" s="13" t="s">
        <v>412</v>
      </c>
      <c r="BT2" s="13" t="s">
        <v>413</v>
      </c>
      <c r="BU2" s="13" t="s">
        <v>414</v>
      </c>
      <c r="BV2" s="13" t="s">
        <v>415</v>
      </c>
      <c r="BW2" s="13" t="s">
        <v>416</v>
      </c>
      <c r="BX2" s="13" t="s">
        <v>417</v>
      </c>
      <c r="BY2" s="13" t="s">
        <v>418</v>
      </c>
      <c r="BZ2" s="13" t="s">
        <v>419</v>
      </c>
      <c r="CA2" s="13" t="s">
        <v>420</v>
      </c>
      <c r="CB2" s="13" t="s">
        <v>421</v>
      </c>
      <c r="CC2" s="13" t="s">
        <v>422</v>
      </c>
      <c r="CD2" s="13" t="s">
        <v>423</v>
      </c>
      <c r="CE2" s="18" t="s">
        <v>430</v>
      </c>
      <c r="CF2" s="18" t="s">
        <v>431</v>
      </c>
      <c r="CG2" s="18" t="s">
        <v>427</v>
      </c>
      <c r="CH2" s="18" t="s">
        <v>428</v>
      </c>
      <c r="CI2" s="18" t="s">
        <v>429</v>
      </c>
      <c r="CJ2" s="18" t="s">
        <v>600</v>
      </c>
      <c r="CK2" s="11" t="s">
        <v>432</v>
      </c>
      <c r="CL2" s="11" t="s">
        <v>430</v>
      </c>
      <c r="CM2" s="11" t="s">
        <v>431</v>
      </c>
      <c r="CN2" s="11" t="s">
        <v>427</v>
      </c>
      <c r="CO2" s="11" t="s">
        <v>428</v>
      </c>
      <c r="CP2" s="11" t="s">
        <v>429</v>
      </c>
      <c r="CQ2" s="29">
        <v>2023</v>
      </c>
      <c r="CR2" s="11" t="s">
        <v>430</v>
      </c>
      <c r="CS2" s="11" t="s">
        <v>431</v>
      </c>
      <c r="CT2" s="11" t="s">
        <v>427</v>
      </c>
      <c r="CU2" s="11" t="s">
        <v>428</v>
      </c>
      <c r="CV2" s="11" t="s">
        <v>429</v>
      </c>
      <c r="CW2" s="11" t="s">
        <v>432</v>
      </c>
      <c r="CX2" s="11" t="s">
        <v>430</v>
      </c>
      <c r="CY2" s="11" t="s">
        <v>431</v>
      </c>
      <c r="CZ2" s="11" t="s">
        <v>427</v>
      </c>
      <c r="DA2" s="11" t="s">
        <v>428</v>
      </c>
      <c r="DB2" s="11" t="s">
        <v>429</v>
      </c>
      <c r="DC2" s="29">
        <v>2022</v>
      </c>
      <c r="DE2" s="18">
        <v>2023</v>
      </c>
      <c r="DF2" s="18">
        <v>2022</v>
      </c>
      <c r="DG2" s="18"/>
      <c r="DH2" s="20" t="s">
        <v>462</v>
      </c>
      <c r="DI2" s="20" t="s">
        <v>464</v>
      </c>
      <c r="DJ2" s="20" t="s">
        <v>468</v>
      </c>
      <c r="DK2" s="20" t="s">
        <v>467</v>
      </c>
      <c r="DL2" s="20" t="s">
        <v>466</v>
      </c>
      <c r="DM2" s="20" t="s">
        <v>465</v>
      </c>
      <c r="DN2" s="20" t="s">
        <v>463</v>
      </c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</row>
    <row r="3" spans="1:129" ht="14.25" customHeight="1">
      <c r="A3" s="2">
        <v>4852</v>
      </c>
      <c r="B3" s="3" t="s">
        <v>42</v>
      </c>
      <c r="C3" s="3" t="s">
        <v>44</v>
      </c>
      <c r="D3" s="4">
        <v>1</v>
      </c>
      <c r="E3" s="3" t="s">
        <v>45</v>
      </c>
      <c r="F3" s="3" t="s">
        <v>46</v>
      </c>
      <c r="G3" s="4" t="s">
        <v>47</v>
      </c>
      <c r="H3" s="4" t="s">
        <v>16</v>
      </c>
      <c r="I3" s="4" t="b">
        <v>1</v>
      </c>
      <c r="J3" s="5" t="s">
        <v>47</v>
      </c>
      <c r="K3" s="5" t="s">
        <v>44</v>
      </c>
      <c r="L3" s="5" t="s">
        <v>48</v>
      </c>
      <c r="M3" s="5" t="s">
        <v>46</v>
      </c>
      <c r="N3" s="2" t="s">
        <v>13</v>
      </c>
      <c r="O3" s="2" t="s">
        <v>399</v>
      </c>
      <c r="P3" s="2">
        <v>70840</v>
      </c>
      <c r="Q3" s="2" t="s">
        <v>400</v>
      </c>
      <c r="R3" s="2">
        <v>939</v>
      </c>
      <c r="S3" s="2">
        <v>364</v>
      </c>
      <c r="T3" s="2">
        <v>362</v>
      </c>
      <c r="U3" s="2">
        <v>15</v>
      </c>
      <c r="V3" s="2">
        <v>347</v>
      </c>
      <c r="W3" s="2">
        <v>232</v>
      </c>
      <c r="X3" s="2">
        <v>43</v>
      </c>
      <c r="Y3" s="2">
        <v>0</v>
      </c>
      <c r="Z3" s="2">
        <v>7</v>
      </c>
      <c r="AA3" s="2">
        <v>22</v>
      </c>
      <c r="AB3" s="2">
        <v>10</v>
      </c>
      <c r="AC3" s="2">
        <v>10</v>
      </c>
      <c r="AD3" s="2">
        <v>1</v>
      </c>
      <c r="AE3" s="2">
        <v>7</v>
      </c>
      <c r="AF3" s="2">
        <v>1</v>
      </c>
      <c r="AG3" s="2">
        <v>7</v>
      </c>
      <c r="AH3" s="2">
        <v>0</v>
      </c>
      <c r="AI3" s="2">
        <v>0</v>
      </c>
      <c r="AJ3" s="2">
        <v>1</v>
      </c>
      <c r="AK3" s="2">
        <v>0</v>
      </c>
      <c r="AL3" s="2">
        <v>1</v>
      </c>
      <c r="AM3" s="2">
        <v>4</v>
      </c>
      <c r="AN3" s="2">
        <v>1</v>
      </c>
      <c r="AO3" s="2">
        <v>0</v>
      </c>
      <c r="AP3" s="2">
        <v>939</v>
      </c>
      <c r="AQ3" s="2">
        <v>364</v>
      </c>
      <c r="AR3" s="2">
        <v>362</v>
      </c>
      <c r="AS3" s="2">
        <v>18</v>
      </c>
      <c r="AT3" s="2">
        <v>344</v>
      </c>
      <c r="AU3" s="2">
        <v>5</v>
      </c>
      <c r="AV3" s="2">
        <v>7</v>
      </c>
      <c r="AW3" s="2">
        <v>1</v>
      </c>
      <c r="AX3" s="2">
        <v>24</v>
      </c>
      <c r="AY3" s="2">
        <v>13</v>
      </c>
      <c r="AZ3" s="2">
        <v>277</v>
      </c>
      <c r="BA3" s="2">
        <v>7</v>
      </c>
      <c r="BB3" s="2">
        <v>10</v>
      </c>
      <c r="BC3" s="11" t="s">
        <v>13</v>
      </c>
      <c r="BD3" s="11" t="s">
        <v>424</v>
      </c>
      <c r="BE3" s="11">
        <v>70840</v>
      </c>
      <c r="BF3" s="11" t="s">
        <v>400</v>
      </c>
      <c r="BG3" s="11">
        <v>1</v>
      </c>
      <c r="BH3" s="11">
        <v>951</v>
      </c>
      <c r="BI3" s="11">
        <v>373</v>
      </c>
      <c r="BJ3" s="11">
        <v>373</v>
      </c>
      <c r="BK3" s="11">
        <v>5</v>
      </c>
      <c r="BL3" s="11">
        <v>368</v>
      </c>
      <c r="BM3" s="11">
        <v>261</v>
      </c>
      <c r="BN3" s="11">
        <v>26</v>
      </c>
      <c r="BO3" s="11">
        <v>6</v>
      </c>
      <c r="BP3" s="11">
        <v>7</v>
      </c>
      <c r="BQ3" s="11">
        <v>9</v>
      </c>
      <c r="BR3" s="11">
        <v>0</v>
      </c>
      <c r="BS3" s="11">
        <v>39</v>
      </c>
      <c r="BT3" s="11">
        <v>0</v>
      </c>
      <c r="BU3" s="11">
        <v>0</v>
      </c>
      <c r="BV3" s="11">
        <v>1</v>
      </c>
      <c r="BW3" s="11">
        <v>2</v>
      </c>
      <c r="BX3" s="11">
        <v>2</v>
      </c>
      <c r="BY3" s="11">
        <v>0</v>
      </c>
      <c r="BZ3" s="11">
        <v>13</v>
      </c>
      <c r="CA3" s="11">
        <v>1</v>
      </c>
      <c r="CB3" s="11">
        <v>0</v>
      </c>
      <c r="CC3" s="11">
        <v>1</v>
      </c>
      <c r="CD3" s="11">
        <v>0</v>
      </c>
      <c r="CE3">
        <f>BM3+BN3+BO3</f>
        <v>293</v>
      </c>
      <c r="CF3">
        <f>BP3+BQ3</f>
        <v>16</v>
      </c>
      <c r="CG3">
        <f>BS3+BW3+BX3</f>
        <v>43</v>
      </c>
      <c r="CH3">
        <f>BZ3</f>
        <v>13</v>
      </c>
      <c r="CI3">
        <v>1</v>
      </c>
      <c r="CJ3" s="11">
        <v>951</v>
      </c>
      <c r="CK3" s="14">
        <v>0.39221871713985279</v>
      </c>
      <c r="CL3" s="14">
        <v>0.78552278820375332</v>
      </c>
      <c r="CM3" s="14">
        <v>4.8257372654155493E-2</v>
      </c>
      <c r="CN3" s="14">
        <v>0.11528150134048257</v>
      </c>
      <c r="CO3" s="14">
        <v>3.4852546916890083E-2</v>
      </c>
      <c r="CP3" s="14">
        <v>2.6809651474530832E-3</v>
      </c>
      <c r="CQ3" s="30">
        <v>5</v>
      </c>
      <c r="CR3" s="15">
        <v>282</v>
      </c>
      <c r="CS3">
        <v>28</v>
      </c>
      <c r="CT3">
        <v>34</v>
      </c>
      <c r="CV3">
        <v>3</v>
      </c>
      <c r="CW3" s="14">
        <v>0.3876464323748669</v>
      </c>
      <c r="CX3" s="14">
        <v>0.77472527472527475</v>
      </c>
      <c r="CY3" s="14">
        <v>7.6923076923076927E-2</v>
      </c>
      <c r="CZ3" s="14">
        <v>9.3406593406593408E-2</v>
      </c>
      <c r="DA3" s="14">
        <v>0</v>
      </c>
      <c r="DB3" s="14">
        <v>8.241758241758242E-3</v>
      </c>
      <c r="DC3" s="30">
        <v>5</v>
      </c>
      <c r="DD3" s="14" t="s">
        <v>474</v>
      </c>
      <c r="DE3" s="17" t="s">
        <v>437</v>
      </c>
      <c r="DF3" s="17" t="s">
        <v>437</v>
      </c>
      <c r="DG3" s="17" t="s">
        <v>453</v>
      </c>
      <c r="DH3" s="21">
        <v>303.71000000000004</v>
      </c>
      <c r="DI3" s="22">
        <v>951</v>
      </c>
      <c r="DJ3" s="16">
        <v>1</v>
      </c>
      <c r="DK3" s="16">
        <v>373</v>
      </c>
      <c r="DL3" s="23">
        <v>0.39221871713985279</v>
      </c>
      <c r="DM3" s="16">
        <v>1</v>
      </c>
      <c r="DN3">
        <v>5</v>
      </c>
      <c r="DO3" s="24"/>
      <c r="DP3" s="25"/>
      <c r="DQ3" s="25"/>
      <c r="DR3" s="27"/>
      <c r="DS3" s="26"/>
    </row>
    <row r="4" spans="1:129" ht="14.25" customHeight="1">
      <c r="A4" s="2">
        <v>4853</v>
      </c>
      <c r="B4" s="3" t="s">
        <v>42</v>
      </c>
      <c r="C4" s="3" t="s">
        <v>44</v>
      </c>
      <c r="D4" s="4">
        <v>2</v>
      </c>
      <c r="E4" s="3" t="s">
        <v>49</v>
      </c>
      <c r="F4" s="3" t="s">
        <v>46</v>
      </c>
      <c r="G4" s="4" t="s">
        <v>50</v>
      </c>
      <c r="H4" s="4" t="s">
        <v>16</v>
      </c>
      <c r="I4" s="4" t="b">
        <v>1</v>
      </c>
      <c r="J4" s="5" t="s">
        <v>50</v>
      </c>
      <c r="K4" s="5" t="s">
        <v>44</v>
      </c>
      <c r="L4" s="5" t="s">
        <v>51</v>
      </c>
      <c r="M4" s="5" t="s">
        <v>46</v>
      </c>
      <c r="N4" s="2" t="s">
        <v>13</v>
      </c>
      <c r="O4" s="2" t="s">
        <v>399</v>
      </c>
      <c r="P4" s="2">
        <v>70840</v>
      </c>
      <c r="Q4" s="2" t="s">
        <v>400</v>
      </c>
      <c r="R4" s="2">
        <v>1081</v>
      </c>
      <c r="S4" s="2">
        <v>541</v>
      </c>
      <c r="T4" s="2">
        <v>541</v>
      </c>
      <c r="U4" s="2">
        <v>16</v>
      </c>
      <c r="V4" s="2">
        <v>525</v>
      </c>
      <c r="W4" s="2">
        <v>264</v>
      </c>
      <c r="X4" s="2">
        <v>79</v>
      </c>
      <c r="Y4" s="2">
        <v>0</v>
      </c>
      <c r="Z4" s="2">
        <v>11</v>
      </c>
      <c r="AA4" s="2">
        <v>76</v>
      </c>
      <c r="AB4" s="2">
        <v>12</v>
      </c>
      <c r="AC4" s="2">
        <v>13</v>
      </c>
      <c r="AD4" s="2">
        <v>0</v>
      </c>
      <c r="AE4" s="2">
        <v>13</v>
      </c>
      <c r="AF4" s="2">
        <v>6</v>
      </c>
      <c r="AG4" s="2">
        <v>28</v>
      </c>
      <c r="AH4" s="2">
        <v>1</v>
      </c>
      <c r="AI4" s="2">
        <v>0</v>
      </c>
      <c r="AJ4" s="2">
        <v>5</v>
      </c>
      <c r="AK4" s="2">
        <v>0</v>
      </c>
      <c r="AL4" s="2">
        <v>0</v>
      </c>
      <c r="AM4" s="2">
        <v>8</v>
      </c>
      <c r="AN4" s="2">
        <v>4</v>
      </c>
      <c r="AO4" s="2">
        <v>5</v>
      </c>
      <c r="AP4" s="2">
        <v>1081</v>
      </c>
      <c r="AQ4" s="2">
        <v>541</v>
      </c>
      <c r="AR4" s="2">
        <v>541</v>
      </c>
      <c r="AS4" s="2">
        <v>17</v>
      </c>
      <c r="AT4" s="2">
        <v>524</v>
      </c>
      <c r="AU4" s="2">
        <v>10</v>
      </c>
      <c r="AV4" s="2">
        <v>7</v>
      </c>
      <c r="AW4" s="2">
        <v>10</v>
      </c>
      <c r="AX4" s="2">
        <v>86</v>
      </c>
      <c r="AY4" s="2">
        <v>16</v>
      </c>
      <c r="AZ4" s="2">
        <v>356</v>
      </c>
      <c r="BA4" s="2">
        <v>8</v>
      </c>
      <c r="BB4" s="2">
        <v>31</v>
      </c>
      <c r="BC4" s="11" t="s">
        <v>13</v>
      </c>
      <c r="BD4" s="11" t="s">
        <v>424</v>
      </c>
      <c r="BE4" s="11">
        <v>70840</v>
      </c>
      <c r="BF4" s="11" t="s">
        <v>400</v>
      </c>
      <c r="BG4" s="11">
        <v>2</v>
      </c>
      <c r="BH4" s="11">
        <v>1057</v>
      </c>
      <c r="BI4" s="11">
        <v>536</v>
      </c>
      <c r="BJ4" s="11">
        <v>535</v>
      </c>
      <c r="BK4" s="11">
        <v>17</v>
      </c>
      <c r="BL4" s="11">
        <v>518</v>
      </c>
      <c r="BM4" s="11">
        <v>305</v>
      </c>
      <c r="BN4" s="11">
        <v>45</v>
      </c>
      <c r="BO4" s="11">
        <v>5</v>
      </c>
      <c r="BP4" s="11">
        <v>9</v>
      </c>
      <c r="BQ4" s="11">
        <v>12</v>
      </c>
      <c r="BR4" s="11">
        <v>1</v>
      </c>
      <c r="BS4" s="11">
        <v>116</v>
      </c>
      <c r="BT4" s="11">
        <v>1</v>
      </c>
      <c r="BU4" s="11">
        <v>0</v>
      </c>
      <c r="BV4" s="11">
        <v>0</v>
      </c>
      <c r="BW4" s="11">
        <v>3</v>
      </c>
      <c r="BX4" s="11">
        <v>4</v>
      </c>
      <c r="BY4" s="11">
        <v>1</v>
      </c>
      <c r="BZ4" s="11">
        <v>12</v>
      </c>
      <c r="CA4" s="11">
        <v>0</v>
      </c>
      <c r="CB4" s="11">
        <v>2</v>
      </c>
      <c r="CC4" s="11">
        <v>2</v>
      </c>
      <c r="CD4" s="11">
        <v>0</v>
      </c>
      <c r="CE4">
        <f t="shared" ref="CE4:CE67" si="0">BM4+BN4+BO4</f>
        <v>355</v>
      </c>
      <c r="CF4">
        <f t="shared" ref="CF4:CF67" si="1">BP4+BQ4</f>
        <v>21</v>
      </c>
      <c r="CG4">
        <f t="shared" ref="CG4:CG67" si="2">BS4+BW4+BX4</f>
        <v>123</v>
      </c>
      <c r="CH4">
        <f t="shared" ref="CH4:CH67" si="3">BZ4</f>
        <v>12</v>
      </c>
      <c r="CI4">
        <v>5</v>
      </c>
      <c r="CJ4" s="11">
        <v>1057</v>
      </c>
      <c r="CK4" s="14">
        <v>0.50709555345316937</v>
      </c>
      <c r="CL4" s="14">
        <v>0.66231343283582089</v>
      </c>
      <c r="CM4" s="14">
        <v>4.4776119402985072E-2</v>
      </c>
      <c r="CN4" s="14">
        <v>0.22761194029850745</v>
      </c>
      <c r="CO4" s="14">
        <v>2.2388059701492536E-2</v>
      </c>
      <c r="CP4" s="14">
        <v>9.3283582089552231E-3</v>
      </c>
      <c r="CQ4" s="30">
        <v>6</v>
      </c>
      <c r="CR4" s="15">
        <v>354</v>
      </c>
      <c r="CS4">
        <v>59</v>
      </c>
      <c r="CT4">
        <v>103</v>
      </c>
      <c r="CV4">
        <v>9</v>
      </c>
      <c r="CW4" s="14">
        <v>0.50046253469010171</v>
      </c>
      <c r="CX4" s="14">
        <v>0.65434380776340106</v>
      </c>
      <c r="CY4" s="14">
        <v>0.10905730129390019</v>
      </c>
      <c r="CZ4" s="14">
        <v>0.19038817005545286</v>
      </c>
      <c r="DA4" s="14">
        <v>0</v>
      </c>
      <c r="DB4" s="14">
        <v>1.6635859519408502E-2</v>
      </c>
      <c r="DC4" s="30">
        <v>6</v>
      </c>
      <c r="DD4" s="14" t="s">
        <v>482</v>
      </c>
      <c r="DE4" s="17" t="s">
        <v>438</v>
      </c>
      <c r="DF4" s="17" t="s">
        <v>438</v>
      </c>
      <c r="DG4" s="17" t="s">
        <v>451</v>
      </c>
      <c r="DH4" s="21">
        <v>360.06</v>
      </c>
      <c r="DI4" s="22">
        <v>1057</v>
      </c>
      <c r="DJ4" s="16">
        <v>1</v>
      </c>
      <c r="DK4" s="16">
        <v>535</v>
      </c>
      <c r="DL4" s="23">
        <v>0.50614947965941348</v>
      </c>
      <c r="DM4" s="16">
        <v>1</v>
      </c>
      <c r="DN4">
        <v>6</v>
      </c>
      <c r="DO4" s="24"/>
      <c r="DP4" s="25"/>
      <c r="DQ4" s="25"/>
      <c r="DR4" s="27"/>
      <c r="DS4" s="26"/>
    </row>
    <row r="5" spans="1:129" ht="14.25" customHeight="1">
      <c r="A5" s="2">
        <v>4854</v>
      </c>
      <c r="B5" s="3" t="s">
        <v>42</v>
      </c>
      <c r="C5" s="3" t="s">
        <v>44</v>
      </c>
      <c r="D5" s="4">
        <v>3</v>
      </c>
      <c r="E5" s="3" t="s">
        <v>24</v>
      </c>
      <c r="F5" s="3" t="s">
        <v>52</v>
      </c>
      <c r="G5" s="4" t="s">
        <v>53</v>
      </c>
      <c r="H5" s="4" t="b">
        <v>1</v>
      </c>
      <c r="I5" s="4" t="b">
        <v>1</v>
      </c>
      <c r="J5" s="5" t="s">
        <v>53</v>
      </c>
      <c r="K5" s="5" t="s">
        <v>44</v>
      </c>
      <c r="L5" s="5" t="s">
        <v>24</v>
      </c>
      <c r="M5" s="5" t="s">
        <v>52</v>
      </c>
      <c r="N5" s="2" t="s">
        <v>13</v>
      </c>
      <c r="O5" s="2" t="s">
        <v>399</v>
      </c>
      <c r="P5" s="2">
        <v>70840</v>
      </c>
      <c r="Q5" s="2" t="s">
        <v>400</v>
      </c>
      <c r="R5" s="2">
        <v>636</v>
      </c>
      <c r="S5" s="2">
        <v>312</v>
      </c>
      <c r="T5" s="2">
        <v>311</v>
      </c>
      <c r="U5" s="2">
        <v>7</v>
      </c>
      <c r="V5" s="2">
        <v>304</v>
      </c>
      <c r="W5" s="2">
        <v>153</v>
      </c>
      <c r="X5" s="2">
        <v>40</v>
      </c>
      <c r="Y5" s="2">
        <v>0</v>
      </c>
      <c r="Z5" s="2">
        <v>5</v>
      </c>
      <c r="AA5" s="2">
        <v>40</v>
      </c>
      <c r="AB5" s="2">
        <v>19</v>
      </c>
      <c r="AC5" s="2">
        <v>12</v>
      </c>
      <c r="AD5" s="2">
        <v>0</v>
      </c>
      <c r="AE5" s="2">
        <v>2</v>
      </c>
      <c r="AF5" s="2">
        <v>4</v>
      </c>
      <c r="AG5" s="2">
        <v>19</v>
      </c>
      <c r="AH5" s="2">
        <v>0</v>
      </c>
      <c r="AI5" s="2">
        <v>0</v>
      </c>
      <c r="AJ5" s="2">
        <v>6</v>
      </c>
      <c r="AK5" s="2">
        <v>0</v>
      </c>
      <c r="AL5" s="2">
        <v>0</v>
      </c>
      <c r="AM5" s="2">
        <v>3</v>
      </c>
      <c r="AN5" s="2">
        <v>1</v>
      </c>
      <c r="AO5" s="2">
        <v>0</v>
      </c>
      <c r="AP5" s="2">
        <v>636</v>
      </c>
      <c r="AQ5" s="2">
        <v>312</v>
      </c>
      <c r="AR5" s="2">
        <v>311</v>
      </c>
      <c r="AS5" s="2">
        <v>6</v>
      </c>
      <c r="AT5" s="2">
        <v>305</v>
      </c>
      <c r="AU5" s="2">
        <v>5</v>
      </c>
      <c r="AV5" s="2">
        <v>5</v>
      </c>
      <c r="AW5" s="2">
        <v>0</v>
      </c>
      <c r="AX5" s="2">
        <v>48</v>
      </c>
      <c r="AY5" s="2">
        <v>19</v>
      </c>
      <c r="AZ5" s="2">
        <v>189</v>
      </c>
      <c r="BA5" s="2">
        <v>19</v>
      </c>
      <c r="BB5" s="2">
        <v>20</v>
      </c>
      <c r="BC5" s="11" t="s">
        <v>13</v>
      </c>
      <c r="BD5" s="11" t="s">
        <v>424</v>
      </c>
      <c r="BE5" s="11">
        <v>70840</v>
      </c>
      <c r="BF5" s="11" t="s">
        <v>400</v>
      </c>
      <c r="BG5" s="11">
        <v>3</v>
      </c>
      <c r="BH5" s="11">
        <v>638</v>
      </c>
      <c r="BI5" s="11">
        <v>313</v>
      </c>
      <c r="BJ5" s="11">
        <v>313</v>
      </c>
      <c r="BK5" s="11">
        <v>10</v>
      </c>
      <c r="BL5" s="11">
        <v>303</v>
      </c>
      <c r="BM5" s="11">
        <v>158</v>
      </c>
      <c r="BN5" s="11">
        <v>15</v>
      </c>
      <c r="BO5" s="11">
        <v>2</v>
      </c>
      <c r="BP5" s="11">
        <v>14</v>
      </c>
      <c r="BQ5" s="11">
        <v>14</v>
      </c>
      <c r="BR5" s="11">
        <v>0</v>
      </c>
      <c r="BS5" s="11">
        <v>78</v>
      </c>
      <c r="BT5" s="11">
        <v>0</v>
      </c>
      <c r="BU5" s="11">
        <v>0</v>
      </c>
      <c r="BV5" s="11">
        <v>0</v>
      </c>
      <c r="BW5" s="11">
        <v>1</v>
      </c>
      <c r="BX5" s="11">
        <v>3</v>
      </c>
      <c r="BY5" s="11">
        <v>0</v>
      </c>
      <c r="BZ5" s="11">
        <v>16</v>
      </c>
      <c r="CA5" s="11">
        <v>1</v>
      </c>
      <c r="CB5" s="11">
        <v>0</v>
      </c>
      <c r="CC5" s="11">
        <v>1</v>
      </c>
      <c r="CD5" s="11">
        <v>0</v>
      </c>
      <c r="CE5">
        <f t="shared" si="0"/>
        <v>175</v>
      </c>
      <c r="CF5">
        <f t="shared" si="1"/>
        <v>28</v>
      </c>
      <c r="CG5">
        <f t="shared" si="2"/>
        <v>82</v>
      </c>
      <c r="CH5">
        <f t="shared" si="3"/>
        <v>16</v>
      </c>
      <c r="CI5">
        <v>0</v>
      </c>
      <c r="CJ5" s="11">
        <v>638</v>
      </c>
      <c r="CK5" s="14">
        <v>0.49059561128526646</v>
      </c>
      <c r="CL5" s="14">
        <v>0.5591054313099042</v>
      </c>
      <c r="CM5" s="14">
        <v>9.2651757188498399E-2</v>
      </c>
      <c r="CN5" s="14">
        <v>0.26517571884984026</v>
      </c>
      <c r="CO5" s="14">
        <v>5.1118210862619806E-2</v>
      </c>
      <c r="CP5" s="14">
        <v>0</v>
      </c>
      <c r="CQ5" s="30">
        <v>5</v>
      </c>
      <c r="CR5" s="15">
        <v>198</v>
      </c>
      <c r="CS5">
        <v>54</v>
      </c>
      <c r="CT5">
        <v>51</v>
      </c>
      <c r="CV5">
        <v>1</v>
      </c>
      <c r="CW5" s="14">
        <v>0.49056603773584906</v>
      </c>
      <c r="CX5" s="14">
        <v>0.63461538461538458</v>
      </c>
      <c r="CY5" s="14">
        <v>0.17307692307692307</v>
      </c>
      <c r="CZ5" s="14">
        <v>0.16346153846153846</v>
      </c>
      <c r="DA5" s="14">
        <v>0</v>
      </c>
      <c r="DB5" s="14">
        <v>3.205128205128205E-3</v>
      </c>
      <c r="DC5" s="30">
        <v>6</v>
      </c>
      <c r="DD5" s="14" t="s">
        <v>476</v>
      </c>
      <c r="DE5" s="17" t="s">
        <v>437</v>
      </c>
      <c r="DF5" s="17" t="s">
        <v>438</v>
      </c>
      <c r="DG5" s="17" t="s">
        <v>455</v>
      </c>
      <c r="DH5" s="21">
        <v>240.16000000000003</v>
      </c>
      <c r="DI5" s="16">
        <v>638</v>
      </c>
      <c r="DJ5" s="16">
        <v>0</v>
      </c>
      <c r="DK5" s="16">
        <v>313</v>
      </c>
      <c r="DL5" s="23">
        <v>0.49059561128526646</v>
      </c>
      <c r="DM5" s="16">
        <v>1</v>
      </c>
      <c r="DN5">
        <v>5</v>
      </c>
      <c r="DO5" s="25"/>
      <c r="DP5" s="25"/>
      <c r="DQ5" s="25"/>
      <c r="DR5" s="26"/>
      <c r="DS5" s="26"/>
    </row>
    <row r="6" spans="1:129" ht="14.25" customHeight="1">
      <c r="A6" s="2">
        <v>4855</v>
      </c>
      <c r="B6" s="3" t="s">
        <v>42</v>
      </c>
      <c r="C6" s="3" t="s">
        <v>44</v>
      </c>
      <c r="D6" s="4">
        <v>4</v>
      </c>
      <c r="E6" s="3" t="s">
        <v>54</v>
      </c>
      <c r="F6" s="3" t="s">
        <v>55</v>
      </c>
      <c r="G6" s="4" t="s">
        <v>56</v>
      </c>
      <c r="H6" s="4" t="b">
        <v>1</v>
      </c>
      <c r="I6" s="4" t="b">
        <v>1</v>
      </c>
      <c r="J6" s="5" t="s">
        <v>56</v>
      </c>
      <c r="K6" s="5" t="s">
        <v>44</v>
      </c>
      <c r="L6" s="5" t="s">
        <v>54</v>
      </c>
      <c r="M6" s="5" t="s">
        <v>55</v>
      </c>
      <c r="N6" s="2" t="s">
        <v>13</v>
      </c>
      <c r="O6" s="2" t="s">
        <v>399</v>
      </c>
      <c r="P6" s="2">
        <v>70840</v>
      </c>
      <c r="Q6" s="2" t="s">
        <v>400</v>
      </c>
      <c r="R6" s="2">
        <v>632</v>
      </c>
      <c r="S6" s="2">
        <v>316</v>
      </c>
      <c r="T6" s="2">
        <v>316</v>
      </c>
      <c r="U6" s="2">
        <v>4</v>
      </c>
      <c r="V6" s="2">
        <v>312</v>
      </c>
      <c r="W6" s="2">
        <v>130</v>
      </c>
      <c r="X6" s="2">
        <v>50</v>
      </c>
      <c r="Y6" s="2">
        <v>1</v>
      </c>
      <c r="Z6" s="2">
        <v>8</v>
      </c>
      <c r="AA6" s="2">
        <v>60</v>
      </c>
      <c r="AB6" s="2">
        <v>12</v>
      </c>
      <c r="AC6" s="2">
        <v>10</v>
      </c>
      <c r="AD6" s="2">
        <v>0</v>
      </c>
      <c r="AE6" s="2">
        <v>12</v>
      </c>
      <c r="AF6" s="2">
        <v>9</v>
      </c>
      <c r="AG6" s="2">
        <v>14</v>
      </c>
      <c r="AH6" s="2">
        <v>0</v>
      </c>
      <c r="AI6" s="2">
        <v>0</v>
      </c>
      <c r="AJ6" s="2">
        <v>5</v>
      </c>
      <c r="AK6" s="2">
        <v>0</v>
      </c>
      <c r="AL6" s="2">
        <v>0</v>
      </c>
      <c r="AM6" s="2">
        <v>1</v>
      </c>
      <c r="AN6" s="2">
        <v>0</v>
      </c>
      <c r="AO6" s="2">
        <v>0</v>
      </c>
      <c r="AP6" s="2">
        <v>632</v>
      </c>
      <c r="AQ6" s="2">
        <v>316</v>
      </c>
      <c r="AR6" s="2">
        <v>316</v>
      </c>
      <c r="AS6" s="2">
        <v>5</v>
      </c>
      <c r="AT6" s="2">
        <v>311</v>
      </c>
      <c r="AU6" s="2">
        <v>3</v>
      </c>
      <c r="AV6" s="2">
        <v>4</v>
      </c>
      <c r="AW6" s="2">
        <v>10</v>
      </c>
      <c r="AX6" s="2">
        <v>68</v>
      </c>
      <c r="AY6" s="2">
        <v>12</v>
      </c>
      <c r="AZ6" s="2">
        <v>182</v>
      </c>
      <c r="BA6" s="2">
        <v>13</v>
      </c>
      <c r="BB6" s="2">
        <v>19</v>
      </c>
      <c r="BC6" s="11" t="s">
        <v>13</v>
      </c>
      <c r="BD6" s="11" t="s">
        <v>424</v>
      </c>
      <c r="BE6" s="11">
        <v>70840</v>
      </c>
      <c r="BF6" s="11" t="s">
        <v>400</v>
      </c>
      <c r="BG6" s="11">
        <v>4</v>
      </c>
      <c r="BH6" s="11">
        <v>613</v>
      </c>
      <c r="BI6" s="11">
        <v>291</v>
      </c>
      <c r="BJ6" s="11">
        <v>291</v>
      </c>
      <c r="BK6" s="11">
        <v>4</v>
      </c>
      <c r="BL6" s="11">
        <v>287</v>
      </c>
      <c r="BM6" s="11">
        <v>137</v>
      </c>
      <c r="BN6" s="11">
        <v>34</v>
      </c>
      <c r="BO6" s="11">
        <v>5</v>
      </c>
      <c r="BP6" s="11">
        <v>2</v>
      </c>
      <c r="BQ6" s="11">
        <v>7</v>
      </c>
      <c r="BR6" s="11">
        <v>0</v>
      </c>
      <c r="BS6" s="11">
        <v>70</v>
      </c>
      <c r="BT6" s="11">
        <v>0</v>
      </c>
      <c r="BU6" s="11">
        <v>0</v>
      </c>
      <c r="BV6" s="11">
        <v>0</v>
      </c>
      <c r="BW6" s="11">
        <v>5</v>
      </c>
      <c r="BX6" s="11">
        <v>7</v>
      </c>
      <c r="BY6" s="11">
        <v>0</v>
      </c>
      <c r="BZ6" s="11">
        <v>16</v>
      </c>
      <c r="CA6" s="11">
        <v>1</v>
      </c>
      <c r="CB6" s="11">
        <v>0</v>
      </c>
      <c r="CC6" s="11">
        <v>3</v>
      </c>
      <c r="CD6" s="11">
        <v>0</v>
      </c>
      <c r="CE6">
        <f t="shared" si="0"/>
        <v>176</v>
      </c>
      <c r="CF6">
        <f t="shared" si="1"/>
        <v>9</v>
      </c>
      <c r="CG6">
        <f t="shared" si="2"/>
        <v>82</v>
      </c>
      <c r="CH6">
        <f t="shared" si="3"/>
        <v>16</v>
      </c>
      <c r="CI6">
        <v>0</v>
      </c>
      <c r="CJ6" s="11">
        <v>613</v>
      </c>
      <c r="CK6" s="14">
        <v>0.47471451876019577</v>
      </c>
      <c r="CL6" s="14">
        <v>0.60481099656357384</v>
      </c>
      <c r="CM6" s="14">
        <v>4.8109965635738834E-2</v>
      </c>
      <c r="CN6" s="14">
        <v>0.27835051546391754</v>
      </c>
      <c r="CO6" s="14">
        <v>5.4982817869415807E-2</v>
      </c>
      <c r="CP6" s="14">
        <v>0</v>
      </c>
      <c r="CQ6" s="30">
        <v>5</v>
      </c>
      <c r="CR6" s="15">
        <v>188</v>
      </c>
      <c r="CS6">
        <v>45</v>
      </c>
      <c r="CT6">
        <v>78</v>
      </c>
      <c r="CV6">
        <v>1</v>
      </c>
      <c r="CW6" s="14">
        <v>0.5</v>
      </c>
      <c r="CX6" s="14">
        <v>0.59493670886075944</v>
      </c>
      <c r="CY6" s="14">
        <v>0.14240506329113925</v>
      </c>
      <c r="CZ6" s="14">
        <v>0.24683544303797469</v>
      </c>
      <c r="DA6" s="14">
        <v>0</v>
      </c>
      <c r="DB6" s="14">
        <v>3.1645569620253164E-3</v>
      </c>
      <c r="DC6" s="30">
        <v>6</v>
      </c>
      <c r="DD6" s="14" t="s">
        <v>476</v>
      </c>
      <c r="DE6" s="17" t="s">
        <v>437</v>
      </c>
      <c r="DF6" s="17" t="s">
        <v>438</v>
      </c>
      <c r="DG6" s="17" t="s">
        <v>455</v>
      </c>
      <c r="DH6" s="21">
        <v>234.9</v>
      </c>
      <c r="DI6" s="16">
        <v>613</v>
      </c>
      <c r="DJ6" s="16">
        <v>0</v>
      </c>
      <c r="DK6" s="16">
        <v>291</v>
      </c>
      <c r="DL6" s="23">
        <v>0.47471451876019577</v>
      </c>
      <c r="DM6" s="16">
        <v>1</v>
      </c>
      <c r="DN6">
        <v>5</v>
      </c>
      <c r="DO6" s="25"/>
      <c r="DP6" s="25"/>
      <c r="DQ6" s="25"/>
      <c r="DR6" s="26"/>
      <c r="DS6" s="26"/>
    </row>
    <row r="7" spans="1:129" ht="14.25" customHeight="1">
      <c r="A7" s="2">
        <v>4856</v>
      </c>
      <c r="B7" s="3" t="s">
        <v>42</v>
      </c>
      <c r="C7" s="3" t="s">
        <v>44</v>
      </c>
      <c r="D7" s="4">
        <v>5</v>
      </c>
      <c r="E7" s="3" t="s">
        <v>57</v>
      </c>
      <c r="F7" s="3" t="s">
        <v>44</v>
      </c>
      <c r="G7" s="4" t="s">
        <v>58</v>
      </c>
      <c r="H7" s="4" t="b">
        <v>1</v>
      </c>
      <c r="I7" s="4" t="b">
        <v>1</v>
      </c>
      <c r="J7" s="5" t="s">
        <v>58</v>
      </c>
      <c r="K7" s="5" t="s">
        <v>44</v>
      </c>
      <c r="L7" s="5" t="s">
        <v>57</v>
      </c>
      <c r="M7" s="5" t="s">
        <v>44</v>
      </c>
      <c r="N7" s="2" t="s">
        <v>13</v>
      </c>
      <c r="O7" s="2" t="s">
        <v>399</v>
      </c>
      <c r="P7" s="2">
        <v>70840</v>
      </c>
      <c r="Q7" s="2" t="s">
        <v>400</v>
      </c>
      <c r="R7" s="2">
        <v>732</v>
      </c>
      <c r="S7" s="2">
        <v>373</v>
      </c>
      <c r="T7" s="2">
        <v>373</v>
      </c>
      <c r="U7" s="2">
        <v>15</v>
      </c>
      <c r="V7" s="2">
        <v>358</v>
      </c>
      <c r="W7" s="2">
        <v>176</v>
      </c>
      <c r="X7" s="2">
        <v>45</v>
      </c>
      <c r="Y7" s="2">
        <v>0</v>
      </c>
      <c r="Z7" s="2">
        <v>5</v>
      </c>
      <c r="AA7" s="2">
        <v>53</v>
      </c>
      <c r="AB7" s="2">
        <v>11</v>
      </c>
      <c r="AC7" s="2">
        <v>17</v>
      </c>
      <c r="AD7" s="2">
        <v>0</v>
      </c>
      <c r="AE7" s="2">
        <v>8</v>
      </c>
      <c r="AF7" s="2">
        <v>4</v>
      </c>
      <c r="AG7" s="2">
        <v>24</v>
      </c>
      <c r="AH7" s="2">
        <v>0</v>
      </c>
      <c r="AI7" s="2">
        <v>0</v>
      </c>
      <c r="AJ7" s="2">
        <v>9</v>
      </c>
      <c r="AK7" s="2">
        <v>0</v>
      </c>
      <c r="AL7" s="2">
        <v>0</v>
      </c>
      <c r="AM7" s="2">
        <v>4</v>
      </c>
      <c r="AN7" s="2">
        <v>1</v>
      </c>
      <c r="AO7" s="2">
        <v>1</v>
      </c>
      <c r="AP7" s="2">
        <v>732</v>
      </c>
      <c r="AQ7" s="2">
        <v>373</v>
      </c>
      <c r="AR7" s="2">
        <v>373</v>
      </c>
      <c r="AS7" s="2">
        <v>12</v>
      </c>
      <c r="AT7" s="2">
        <v>361</v>
      </c>
      <c r="AU7" s="2">
        <v>2</v>
      </c>
      <c r="AV7" s="2">
        <v>4</v>
      </c>
      <c r="AW7" s="2">
        <v>4</v>
      </c>
      <c r="AX7" s="2">
        <v>64</v>
      </c>
      <c r="AY7" s="2">
        <v>11</v>
      </c>
      <c r="AZ7" s="2">
        <v>236</v>
      </c>
      <c r="BA7" s="2">
        <v>14</v>
      </c>
      <c r="BB7" s="2">
        <v>26</v>
      </c>
      <c r="BC7" s="11" t="s">
        <v>13</v>
      </c>
      <c r="BD7" s="11" t="s">
        <v>424</v>
      </c>
      <c r="BE7" s="11">
        <v>70840</v>
      </c>
      <c r="BF7" s="11" t="s">
        <v>400</v>
      </c>
      <c r="BG7" s="11">
        <v>5</v>
      </c>
      <c r="BH7" s="11">
        <v>727</v>
      </c>
      <c r="BI7" s="11">
        <v>354</v>
      </c>
      <c r="BJ7" s="11">
        <v>354</v>
      </c>
      <c r="BK7" s="11">
        <v>13</v>
      </c>
      <c r="BL7" s="11">
        <v>341</v>
      </c>
      <c r="BM7" s="11">
        <v>202</v>
      </c>
      <c r="BN7" s="11">
        <v>18</v>
      </c>
      <c r="BO7" s="11">
        <v>0</v>
      </c>
      <c r="BP7" s="11">
        <v>9</v>
      </c>
      <c r="BQ7" s="11">
        <v>14</v>
      </c>
      <c r="BR7" s="11">
        <v>1</v>
      </c>
      <c r="BS7" s="11">
        <v>73</v>
      </c>
      <c r="BT7" s="11">
        <v>0</v>
      </c>
      <c r="BU7" s="11">
        <v>0</v>
      </c>
      <c r="BV7" s="11">
        <v>0</v>
      </c>
      <c r="BW7" s="11">
        <v>1</v>
      </c>
      <c r="BX7" s="11">
        <v>4</v>
      </c>
      <c r="BY7" s="11">
        <v>1</v>
      </c>
      <c r="BZ7" s="11">
        <v>12</v>
      </c>
      <c r="CA7" s="11">
        <v>0</v>
      </c>
      <c r="CB7" s="11">
        <v>1</v>
      </c>
      <c r="CC7" s="11">
        <v>4</v>
      </c>
      <c r="CD7" s="11">
        <v>1</v>
      </c>
      <c r="CE7">
        <f t="shared" si="0"/>
        <v>220</v>
      </c>
      <c r="CF7">
        <f t="shared" si="1"/>
        <v>23</v>
      </c>
      <c r="CG7">
        <f t="shared" si="2"/>
        <v>78</v>
      </c>
      <c r="CH7">
        <f t="shared" si="3"/>
        <v>12</v>
      </c>
      <c r="CI7">
        <v>4</v>
      </c>
      <c r="CJ7" s="11">
        <v>727</v>
      </c>
      <c r="CK7" s="14">
        <v>0.48693259972489683</v>
      </c>
      <c r="CL7" s="14">
        <v>0.62146892655367236</v>
      </c>
      <c r="CM7" s="14">
        <v>6.7796610169491525E-2</v>
      </c>
      <c r="CN7" s="14">
        <v>0.2288135593220339</v>
      </c>
      <c r="CO7" s="14">
        <v>3.3898305084745763E-2</v>
      </c>
      <c r="CP7" s="14">
        <v>1.1299435028248588E-2</v>
      </c>
      <c r="CQ7" s="30">
        <v>5</v>
      </c>
      <c r="CR7" s="15">
        <v>226</v>
      </c>
      <c r="CS7">
        <v>56</v>
      </c>
      <c r="CT7">
        <v>74</v>
      </c>
      <c r="CV7">
        <v>2</v>
      </c>
      <c r="CW7" s="14">
        <v>0.5095628415300546</v>
      </c>
      <c r="CX7" s="14">
        <v>0.60589812332439674</v>
      </c>
      <c r="CY7" s="14">
        <v>0.15013404825737264</v>
      </c>
      <c r="CZ7" s="14">
        <v>0.19839142091152814</v>
      </c>
      <c r="DA7" s="14">
        <v>0</v>
      </c>
      <c r="DB7" s="14">
        <v>5.3619302949061663E-3</v>
      </c>
      <c r="DC7" s="30">
        <v>6</v>
      </c>
      <c r="DD7" s="14" t="s">
        <v>476</v>
      </c>
      <c r="DE7" s="17" t="s">
        <v>437</v>
      </c>
      <c r="DF7" s="17" t="s">
        <v>438</v>
      </c>
      <c r="DG7" s="17" t="s">
        <v>455</v>
      </c>
      <c r="DH7" s="21">
        <v>254.89</v>
      </c>
      <c r="DI7" s="16">
        <v>727</v>
      </c>
      <c r="DJ7" s="16">
        <v>0</v>
      </c>
      <c r="DK7" s="16">
        <v>354</v>
      </c>
      <c r="DL7" s="23">
        <v>0.48693259972489683</v>
      </c>
      <c r="DM7" s="16">
        <v>1</v>
      </c>
      <c r="DN7">
        <v>5</v>
      </c>
      <c r="DO7" s="25"/>
      <c r="DP7" s="25"/>
      <c r="DQ7" s="25"/>
      <c r="DR7" s="26"/>
      <c r="DS7" s="26"/>
    </row>
    <row r="8" spans="1:129" ht="14.25" customHeight="1">
      <c r="A8" s="2">
        <v>4857</v>
      </c>
      <c r="B8" s="3" t="s">
        <v>42</v>
      </c>
      <c r="C8" s="3" t="s">
        <v>44</v>
      </c>
      <c r="D8" s="4">
        <v>6</v>
      </c>
      <c r="E8" s="3" t="s">
        <v>36</v>
      </c>
      <c r="F8" s="3" t="s">
        <v>59</v>
      </c>
      <c r="G8" s="4" t="s">
        <v>60</v>
      </c>
      <c r="H8" s="4" t="b">
        <v>1</v>
      </c>
      <c r="I8" s="4" t="b">
        <v>1</v>
      </c>
      <c r="J8" s="5" t="s">
        <v>60</v>
      </c>
      <c r="K8" s="5" t="s">
        <v>44</v>
      </c>
      <c r="L8" s="5" t="s">
        <v>36</v>
      </c>
      <c r="M8" s="5" t="s">
        <v>59</v>
      </c>
      <c r="N8" s="2" t="s">
        <v>13</v>
      </c>
      <c r="O8" s="2" t="s">
        <v>399</v>
      </c>
      <c r="P8" s="2">
        <v>70840</v>
      </c>
      <c r="Q8" s="2" t="s">
        <v>400</v>
      </c>
      <c r="R8" s="2">
        <v>530</v>
      </c>
      <c r="S8" s="2">
        <v>280</v>
      </c>
      <c r="T8" s="2">
        <v>280</v>
      </c>
      <c r="U8" s="2">
        <v>10</v>
      </c>
      <c r="V8" s="2">
        <v>270</v>
      </c>
      <c r="W8" s="2">
        <v>141</v>
      </c>
      <c r="X8" s="2">
        <v>46</v>
      </c>
      <c r="Y8" s="2">
        <v>0</v>
      </c>
      <c r="Z8" s="2">
        <v>5</v>
      </c>
      <c r="AA8" s="2">
        <v>31</v>
      </c>
      <c r="AB8" s="2">
        <v>5</v>
      </c>
      <c r="AC8" s="2">
        <v>10</v>
      </c>
      <c r="AD8" s="2">
        <v>0</v>
      </c>
      <c r="AE8" s="2">
        <v>5</v>
      </c>
      <c r="AF8" s="2">
        <v>7</v>
      </c>
      <c r="AG8" s="2">
        <v>7</v>
      </c>
      <c r="AH8" s="2">
        <v>0</v>
      </c>
      <c r="AI8" s="2">
        <v>0</v>
      </c>
      <c r="AJ8" s="2">
        <v>4</v>
      </c>
      <c r="AK8" s="2">
        <v>0</v>
      </c>
      <c r="AL8" s="2">
        <v>0</v>
      </c>
      <c r="AM8" s="2">
        <v>6</v>
      </c>
      <c r="AN8" s="2">
        <v>2</v>
      </c>
      <c r="AO8" s="2">
        <v>1</v>
      </c>
      <c r="AP8" s="2">
        <v>530</v>
      </c>
      <c r="AQ8" s="2">
        <v>280</v>
      </c>
      <c r="AR8" s="2">
        <v>280</v>
      </c>
      <c r="AS8" s="2">
        <v>6</v>
      </c>
      <c r="AT8" s="2">
        <v>274</v>
      </c>
      <c r="AU8" s="2">
        <v>1</v>
      </c>
      <c r="AV8" s="2">
        <v>5</v>
      </c>
      <c r="AW8" s="2">
        <v>3</v>
      </c>
      <c r="AX8" s="2">
        <v>41</v>
      </c>
      <c r="AY8" s="2">
        <v>7</v>
      </c>
      <c r="AZ8" s="2">
        <v>194</v>
      </c>
      <c r="BA8" s="2">
        <v>6</v>
      </c>
      <c r="BB8" s="2">
        <v>17</v>
      </c>
      <c r="BC8" s="11" t="s">
        <v>13</v>
      </c>
      <c r="BD8" s="11" t="s">
        <v>424</v>
      </c>
      <c r="BE8" s="11">
        <v>70840</v>
      </c>
      <c r="BF8" s="11" t="s">
        <v>400</v>
      </c>
      <c r="BG8" s="11">
        <v>6</v>
      </c>
      <c r="BH8" s="11">
        <v>528</v>
      </c>
      <c r="BI8" s="11">
        <v>293</v>
      </c>
      <c r="BJ8" s="11">
        <v>291</v>
      </c>
      <c r="BK8" s="11">
        <v>10</v>
      </c>
      <c r="BL8" s="11">
        <v>281</v>
      </c>
      <c r="BM8" s="11">
        <v>166</v>
      </c>
      <c r="BN8" s="11">
        <v>21</v>
      </c>
      <c r="BO8" s="11">
        <v>5</v>
      </c>
      <c r="BP8" s="11">
        <v>7</v>
      </c>
      <c r="BQ8" s="11">
        <v>2</v>
      </c>
      <c r="BR8" s="11">
        <v>0</v>
      </c>
      <c r="BS8" s="11">
        <v>54</v>
      </c>
      <c r="BT8" s="11">
        <v>0</v>
      </c>
      <c r="BU8" s="11">
        <v>0</v>
      </c>
      <c r="BV8" s="11">
        <v>2</v>
      </c>
      <c r="BW8" s="11">
        <v>2</v>
      </c>
      <c r="BX8" s="11">
        <v>7</v>
      </c>
      <c r="BY8" s="11">
        <v>0</v>
      </c>
      <c r="BZ8" s="11">
        <v>15</v>
      </c>
      <c r="CA8" s="11">
        <v>0</v>
      </c>
      <c r="CB8" s="11">
        <v>0</v>
      </c>
      <c r="CC8" s="11">
        <v>0</v>
      </c>
      <c r="CD8" s="11">
        <v>0</v>
      </c>
      <c r="CE8">
        <f t="shared" si="0"/>
        <v>192</v>
      </c>
      <c r="CF8">
        <f t="shared" si="1"/>
        <v>9</v>
      </c>
      <c r="CG8">
        <f t="shared" si="2"/>
        <v>63</v>
      </c>
      <c r="CH8">
        <f t="shared" si="3"/>
        <v>15</v>
      </c>
      <c r="CI8">
        <v>2</v>
      </c>
      <c r="CJ8" s="11">
        <v>528</v>
      </c>
      <c r="CK8" s="14">
        <v>0.55492424242424243</v>
      </c>
      <c r="CL8" s="14">
        <v>0.65529010238907848</v>
      </c>
      <c r="CM8" s="14">
        <v>3.7542662116040959E-2</v>
      </c>
      <c r="CN8" s="14">
        <v>0.20819112627986347</v>
      </c>
      <c r="CO8" s="14">
        <v>5.1194539249146756E-2</v>
      </c>
      <c r="CP8" s="14">
        <v>6.8259385665529011E-3</v>
      </c>
      <c r="CQ8" s="30">
        <v>8</v>
      </c>
      <c r="CR8" s="15">
        <v>192</v>
      </c>
      <c r="CS8">
        <v>29</v>
      </c>
      <c r="CT8">
        <v>46</v>
      </c>
      <c r="CV8">
        <v>3</v>
      </c>
      <c r="CW8" s="14">
        <v>0.52830188679245282</v>
      </c>
      <c r="CX8" s="14">
        <v>0.68571428571428572</v>
      </c>
      <c r="CY8" s="14">
        <v>0.10357142857142858</v>
      </c>
      <c r="CZ8" s="14">
        <v>0.16428571428571428</v>
      </c>
      <c r="DA8" s="14">
        <v>0</v>
      </c>
      <c r="DB8" s="14">
        <v>1.0714285714285714E-2</v>
      </c>
      <c r="DC8" s="30">
        <v>6</v>
      </c>
      <c r="DD8" s="14" t="s">
        <v>489</v>
      </c>
      <c r="DE8" s="17" t="s">
        <v>439</v>
      </c>
      <c r="DF8" s="17" t="s">
        <v>438</v>
      </c>
      <c r="DG8" s="17" t="s">
        <v>444</v>
      </c>
      <c r="DH8" s="21">
        <v>174.89999999999998</v>
      </c>
      <c r="DI8" s="16">
        <v>528</v>
      </c>
      <c r="DJ8" s="16">
        <v>0</v>
      </c>
      <c r="DK8" s="16">
        <v>291</v>
      </c>
      <c r="DL8" s="23">
        <v>0.55113636363636365</v>
      </c>
      <c r="DM8" s="16">
        <v>0</v>
      </c>
      <c r="DN8">
        <v>0</v>
      </c>
      <c r="DO8" s="25"/>
      <c r="DP8" s="25"/>
      <c r="DQ8" s="25"/>
      <c r="DR8" s="26"/>
      <c r="DS8" s="26"/>
    </row>
    <row r="9" spans="1:129" ht="14.25" customHeight="1">
      <c r="A9" s="2">
        <v>4858</v>
      </c>
      <c r="B9" s="3" t="s">
        <v>42</v>
      </c>
      <c r="C9" s="3" t="s">
        <v>44</v>
      </c>
      <c r="D9" s="4">
        <v>7</v>
      </c>
      <c r="E9" s="3" t="s">
        <v>61</v>
      </c>
      <c r="F9" s="3" t="s">
        <v>55</v>
      </c>
      <c r="G9" s="4" t="s">
        <v>62</v>
      </c>
      <c r="H9" s="4" t="b">
        <v>1</v>
      </c>
      <c r="I9" s="4" t="b">
        <v>1</v>
      </c>
      <c r="J9" s="5" t="s">
        <v>62</v>
      </c>
      <c r="K9" s="5" t="s">
        <v>44</v>
      </c>
      <c r="L9" s="5" t="s">
        <v>61</v>
      </c>
      <c r="M9" s="5" t="s">
        <v>55</v>
      </c>
      <c r="N9" s="2" t="s">
        <v>13</v>
      </c>
      <c r="O9" s="2" t="s">
        <v>399</v>
      </c>
      <c r="P9" s="2">
        <v>70840</v>
      </c>
      <c r="Q9" s="2" t="s">
        <v>400</v>
      </c>
      <c r="R9" s="2">
        <v>471</v>
      </c>
      <c r="S9" s="2">
        <v>268</v>
      </c>
      <c r="T9" s="2">
        <v>268</v>
      </c>
      <c r="U9" s="2">
        <v>5</v>
      </c>
      <c r="V9" s="2">
        <v>263</v>
      </c>
      <c r="W9" s="2">
        <v>128</v>
      </c>
      <c r="X9" s="2">
        <v>42</v>
      </c>
      <c r="Y9" s="2">
        <v>0</v>
      </c>
      <c r="Z9" s="2">
        <v>5</v>
      </c>
      <c r="AA9" s="2">
        <v>47</v>
      </c>
      <c r="AB9" s="2">
        <v>7</v>
      </c>
      <c r="AC9" s="2">
        <v>6</v>
      </c>
      <c r="AD9" s="2">
        <v>0</v>
      </c>
      <c r="AE9" s="2">
        <v>4</v>
      </c>
      <c r="AF9" s="2">
        <v>2</v>
      </c>
      <c r="AG9" s="2">
        <v>11</v>
      </c>
      <c r="AH9" s="2">
        <v>1</v>
      </c>
      <c r="AI9" s="2">
        <v>0</v>
      </c>
      <c r="AJ9" s="2">
        <v>6</v>
      </c>
      <c r="AK9" s="2">
        <v>0</v>
      </c>
      <c r="AL9" s="2">
        <v>0</v>
      </c>
      <c r="AM9" s="2">
        <v>4</v>
      </c>
      <c r="AN9" s="2">
        <v>0</v>
      </c>
      <c r="AO9" s="2">
        <v>0</v>
      </c>
      <c r="AP9" s="2">
        <v>471</v>
      </c>
      <c r="AQ9" s="2">
        <v>268</v>
      </c>
      <c r="AR9" s="2">
        <v>268</v>
      </c>
      <c r="AS9" s="2">
        <v>5</v>
      </c>
      <c r="AT9" s="2">
        <v>263</v>
      </c>
      <c r="AU9" s="2">
        <v>3</v>
      </c>
      <c r="AV9" s="2">
        <v>7</v>
      </c>
      <c r="AW9" s="2">
        <v>4</v>
      </c>
      <c r="AX9" s="2">
        <v>50</v>
      </c>
      <c r="AY9" s="2">
        <v>12</v>
      </c>
      <c r="AZ9" s="2">
        <v>175</v>
      </c>
      <c r="BA9" s="2">
        <v>4</v>
      </c>
      <c r="BB9" s="2">
        <v>8</v>
      </c>
      <c r="BC9" s="11" t="s">
        <v>13</v>
      </c>
      <c r="BD9" s="11" t="s">
        <v>424</v>
      </c>
      <c r="BE9" s="11">
        <v>70840</v>
      </c>
      <c r="BF9" s="11" t="s">
        <v>400</v>
      </c>
      <c r="BG9" s="11">
        <v>7</v>
      </c>
      <c r="BH9" s="11">
        <v>441</v>
      </c>
      <c r="BI9" s="11">
        <v>260</v>
      </c>
      <c r="BJ9" s="11">
        <v>260</v>
      </c>
      <c r="BK9" s="11">
        <v>7</v>
      </c>
      <c r="BL9" s="11">
        <v>253</v>
      </c>
      <c r="BM9" s="11">
        <v>136</v>
      </c>
      <c r="BN9" s="11">
        <v>19</v>
      </c>
      <c r="BO9" s="11">
        <v>1</v>
      </c>
      <c r="BP9" s="11">
        <v>4</v>
      </c>
      <c r="BQ9" s="11">
        <v>6</v>
      </c>
      <c r="BR9" s="11">
        <v>0</v>
      </c>
      <c r="BS9" s="11">
        <v>69</v>
      </c>
      <c r="BT9" s="11">
        <v>0</v>
      </c>
      <c r="BU9" s="11">
        <v>0</v>
      </c>
      <c r="BV9" s="11">
        <v>0</v>
      </c>
      <c r="BW9" s="11">
        <v>0</v>
      </c>
      <c r="BX9" s="11">
        <v>4</v>
      </c>
      <c r="BY9" s="11">
        <v>0</v>
      </c>
      <c r="BZ9" s="11">
        <v>10</v>
      </c>
      <c r="CA9" s="11">
        <v>0</v>
      </c>
      <c r="CB9" s="11">
        <v>2</v>
      </c>
      <c r="CC9" s="11">
        <v>2</v>
      </c>
      <c r="CD9" s="11">
        <v>0</v>
      </c>
      <c r="CE9">
        <f t="shared" si="0"/>
        <v>156</v>
      </c>
      <c r="CF9">
        <f t="shared" si="1"/>
        <v>10</v>
      </c>
      <c r="CG9">
        <f t="shared" si="2"/>
        <v>73</v>
      </c>
      <c r="CH9">
        <f t="shared" si="3"/>
        <v>10</v>
      </c>
      <c r="CI9">
        <v>2</v>
      </c>
      <c r="CJ9" s="11">
        <v>441</v>
      </c>
      <c r="CK9" s="14">
        <v>0.58956916099773238</v>
      </c>
      <c r="CL9" s="14">
        <v>0.6</v>
      </c>
      <c r="CM9" s="14">
        <v>3.8461538461538464E-2</v>
      </c>
      <c r="CN9" s="14">
        <v>0.28846153846153844</v>
      </c>
      <c r="CO9" s="14">
        <v>3.8461538461538464E-2</v>
      </c>
      <c r="CP9" s="14">
        <v>7.6923076923076927E-3</v>
      </c>
      <c r="CQ9" s="30">
        <v>8</v>
      </c>
      <c r="CR9" s="15">
        <v>175</v>
      </c>
      <c r="CS9">
        <v>26</v>
      </c>
      <c r="CT9">
        <v>62</v>
      </c>
      <c r="CV9">
        <v>0</v>
      </c>
      <c r="CW9" s="14">
        <v>0.56900212314225052</v>
      </c>
      <c r="CX9" s="14">
        <v>0.65298507462686572</v>
      </c>
      <c r="CY9" s="14">
        <v>9.7014925373134331E-2</v>
      </c>
      <c r="CZ9" s="14">
        <v>0.23134328358208955</v>
      </c>
      <c r="DA9" s="14">
        <v>0</v>
      </c>
      <c r="DB9" s="14">
        <v>0</v>
      </c>
      <c r="DC9" s="30">
        <v>8</v>
      </c>
      <c r="DD9" s="14" t="s">
        <v>488</v>
      </c>
      <c r="DE9" s="17" t="s">
        <v>439</v>
      </c>
      <c r="DF9" s="17" t="s">
        <v>439</v>
      </c>
      <c r="DG9" s="17" t="s">
        <v>442</v>
      </c>
      <c r="DH9" s="21">
        <v>160.68</v>
      </c>
      <c r="DI9" s="16">
        <v>441</v>
      </c>
      <c r="DJ9" s="16">
        <v>0</v>
      </c>
      <c r="DK9" s="16">
        <v>260</v>
      </c>
      <c r="DL9" s="23">
        <v>0.58956916099773238</v>
      </c>
      <c r="DM9" s="16">
        <v>0</v>
      </c>
      <c r="DN9">
        <v>0</v>
      </c>
      <c r="DO9" s="25"/>
      <c r="DP9" s="25"/>
      <c r="DQ9" s="25"/>
      <c r="DR9" s="26"/>
      <c r="DS9" s="26"/>
    </row>
    <row r="10" spans="1:129" ht="14.25" customHeight="1">
      <c r="A10" s="2">
        <v>4859</v>
      </c>
      <c r="B10" s="3" t="s">
        <v>42</v>
      </c>
      <c r="C10" s="3" t="s">
        <v>44</v>
      </c>
      <c r="D10" s="4">
        <v>8</v>
      </c>
      <c r="E10" s="3" t="s">
        <v>63</v>
      </c>
      <c r="F10" s="3" t="s">
        <v>64</v>
      </c>
      <c r="G10" s="4" t="s">
        <v>65</v>
      </c>
      <c r="H10" s="4" t="b">
        <v>1</v>
      </c>
      <c r="I10" s="4" t="b">
        <v>1</v>
      </c>
      <c r="J10" s="5" t="s">
        <v>65</v>
      </c>
      <c r="K10" s="5" t="s">
        <v>44</v>
      </c>
      <c r="L10" s="5" t="s">
        <v>63</v>
      </c>
      <c r="M10" s="5" t="s">
        <v>64</v>
      </c>
      <c r="N10" s="2" t="s">
        <v>13</v>
      </c>
      <c r="O10" s="2" t="s">
        <v>399</v>
      </c>
      <c r="P10" s="2">
        <v>70840</v>
      </c>
      <c r="Q10" s="2" t="s">
        <v>400</v>
      </c>
      <c r="R10" s="2">
        <v>1237</v>
      </c>
      <c r="S10" s="2">
        <v>665</v>
      </c>
      <c r="T10" s="2">
        <v>665</v>
      </c>
      <c r="U10" s="2">
        <v>26</v>
      </c>
      <c r="V10" s="2">
        <v>639</v>
      </c>
      <c r="W10" s="2">
        <v>332</v>
      </c>
      <c r="X10" s="2">
        <v>80</v>
      </c>
      <c r="Y10" s="2">
        <v>0</v>
      </c>
      <c r="Z10" s="2">
        <v>7</v>
      </c>
      <c r="AA10" s="2">
        <v>99</v>
      </c>
      <c r="AB10" s="2">
        <v>29</v>
      </c>
      <c r="AC10" s="2">
        <v>20</v>
      </c>
      <c r="AD10" s="2">
        <v>1</v>
      </c>
      <c r="AE10" s="2">
        <v>11</v>
      </c>
      <c r="AF10" s="2">
        <v>12</v>
      </c>
      <c r="AG10" s="2">
        <v>27</v>
      </c>
      <c r="AH10" s="2">
        <v>0</v>
      </c>
      <c r="AI10" s="2">
        <v>2</v>
      </c>
      <c r="AJ10" s="2">
        <v>10</v>
      </c>
      <c r="AK10" s="2">
        <v>0</v>
      </c>
      <c r="AL10" s="2">
        <v>0</v>
      </c>
      <c r="AM10" s="2">
        <v>5</v>
      </c>
      <c r="AN10" s="2">
        <v>2</v>
      </c>
      <c r="AO10" s="2">
        <v>2</v>
      </c>
      <c r="AP10" s="2">
        <v>1237</v>
      </c>
      <c r="AQ10" s="2">
        <v>665</v>
      </c>
      <c r="AR10" s="2">
        <v>665</v>
      </c>
      <c r="AS10" s="2">
        <v>12</v>
      </c>
      <c r="AT10" s="2">
        <v>653</v>
      </c>
      <c r="AU10" s="2">
        <v>2</v>
      </c>
      <c r="AV10" s="2">
        <v>12</v>
      </c>
      <c r="AW10" s="2">
        <v>10</v>
      </c>
      <c r="AX10" s="2">
        <v>109</v>
      </c>
      <c r="AY10" s="2">
        <v>31</v>
      </c>
      <c r="AZ10" s="2">
        <v>425</v>
      </c>
      <c r="BA10" s="2">
        <v>28</v>
      </c>
      <c r="BB10" s="2">
        <v>36</v>
      </c>
      <c r="BC10" s="11" t="s">
        <v>13</v>
      </c>
      <c r="BD10" s="11" t="s">
        <v>424</v>
      </c>
      <c r="BE10" s="11">
        <v>70840</v>
      </c>
      <c r="BF10" s="11" t="s">
        <v>400</v>
      </c>
      <c r="BG10" s="11">
        <v>8</v>
      </c>
      <c r="BH10" s="11">
        <v>1221</v>
      </c>
      <c r="BI10" s="11">
        <v>607</v>
      </c>
      <c r="BJ10" s="11">
        <v>607</v>
      </c>
      <c r="BK10" s="11">
        <v>16</v>
      </c>
      <c r="BL10" s="11">
        <v>591</v>
      </c>
      <c r="BM10" s="11">
        <v>323</v>
      </c>
      <c r="BN10" s="11">
        <v>41</v>
      </c>
      <c r="BO10" s="11">
        <v>6</v>
      </c>
      <c r="BP10" s="11">
        <v>17</v>
      </c>
      <c r="BQ10" s="11">
        <v>23</v>
      </c>
      <c r="BR10" s="11">
        <v>1</v>
      </c>
      <c r="BS10" s="11">
        <v>140</v>
      </c>
      <c r="BT10" s="11">
        <v>1</v>
      </c>
      <c r="BU10" s="11">
        <v>0</v>
      </c>
      <c r="BV10" s="11">
        <v>2</v>
      </c>
      <c r="BW10" s="11">
        <v>3</v>
      </c>
      <c r="BX10" s="11">
        <v>7</v>
      </c>
      <c r="BY10" s="11">
        <v>0</v>
      </c>
      <c r="BZ10" s="11">
        <v>23</v>
      </c>
      <c r="CA10" s="11">
        <v>0</v>
      </c>
      <c r="CB10" s="11">
        <v>1</v>
      </c>
      <c r="CC10" s="11">
        <v>1</v>
      </c>
      <c r="CD10" s="11">
        <v>2</v>
      </c>
      <c r="CE10">
        <f t="shared" si="0"/>
        <v>370</v>
      </c>
      <c r="CF10">
        <f t="shared" si="1"/>
        <v>40</v>
      </c>
      <c r="CG10">
        <f t="shared" si="2"/>
        <v>150</v>
      </c>
      <c r="CH10">
        <f t="shared" si="3"/>
        <v>23</v>
      </c>
      <c r="CI10">
        <v>7</v>
      </c>
      <c r="CJ10" s="11">
        <v>1221</v>
      </c>
      <c r="CK10" s="14">
        <v>0.49713349713349714</v>
      </c>
      <c r="CL10" s="14">
        <v>0.60955518945634268</v>
      </c>
      <c r="CM10" s="14">
        <v>7.0840197693574955E-2</v>
      </c>
      <c r="CN10" s="14">
        <v>0.24382207578253706</v>
      </c>
      <c r="CO10" s="14">
        <v>3.789126853377265E-2</v>
      </c>
      <c r="CP10" s="14">
        <v>1.1532125205930808E-2</v>
      </c>
      <c r="CQ10" s="30">
        <v>6</v>
      </c>
      <c r="CR10" s="15">
        <v>419</v>
      </c>
      <c r="CS10">
        <v>88</v>
      </c>
      <c r="CT10">
        <v>125</v>
      </c>
      <c r="CV10">
        <v>7</v>
      </c>
      <c r="CW10" s="14">
        <v>0.53759094583670175</v>
      </c>
      <c r="CX10" s="14">
        <v>0.63007518796992479</v>
      </c>
      <c r="CY10" s="14">
        <v>0.13233082706766916</v>
      </c>
      <c r="CZ10" s="14">
        <v>0.18796992481203006</v>
      </c>
      <c r="DA10" s="14">
        <v>0</v>
      </c>
      <c r="DB10" s="14">
        <v>1.0526315789473684E-2</v>
      </c>
      <c r="DC10" s="30">
        <v>6</v>
      </c>
      <c r="DD10" s="14" t="s">
        <v>482</v>
      </c>
      <c r="DE10" s="17" t="s">
        <v>438</v>
      </c>
      <c r="DF10" s="17" t="s">
        <v>438</v>
      </c>
      <c r="DG10" s="17" t="s">
        <v>451</v>
      </c>
      <c r="DH10" s="21">
        <v>439.12</v>
      </c>
      <c r="DI10" s="22">
        <v>1221</v>
      </c>
      <c r="DJ10" s="16">
        <v>1</v>
      </c>
      <c r="DK10" s="16">
        <v>607</v>
      </c>
      <c r="DL10" s="23">
        <v>0.49713349713349714</v>
      </c>
      <c r="DM10" s="16">
        <v>1</v>
      </c>
      <c r="DN10">
        <v>6</v>
      </c>
      <c r="DO10" s="24"/>
      <c r="DP10" s="25"/>
      <c r="DQ10" s="25"/>
      <c r="DR10" s="27"/>
      <c r="DS10" s="26"/>
    </row>
    <row r="11" spans="1:129" ht="14.25" customHeight="1">
      <c r="A11" s="2">
        <v>4860</v>
      </c>
      <c r="B11" s="3" t="s">
        <v>42</v>
      </c>
      <c r="C11" s="3" t="s">
        <v>44</v>
      </c>
      <c r="D11" s="4">
        <v>9</v>
      </c>
      <c r="E11" s="3" t="s">
        <v>66</v>
      </c>
      <c r="F11" s="3" t="s">
        <v>67</v>
      </c>
      <c r="G11" s="4" t="s">
        <v>68</v>
      </c>
      <c r="H11" s="4" t="b">
        <v>1</v>
      </c>
      <c r="I11" s="4" t="b">
        <v>1</v>
      </c>
      <c r="J11" s="5" t="s">
        <v>68</v>
      </c>
      <c r="K11" s="5" t="s">
        <v>44</v>
      </c>
      <c r="L11" s="5" t="s">
        <v>66</v>
      </c>
      <c r="M11" s="5" t="s">
        <v>67</v>
      </c>
      <c r="N11" s="2" t="s">
        <v>13</v>
      </c>
      <c r="O11" s="2" t="s">
        <v>399</v>
      </c>
      <c r="P11" s="2">
        <v>70840</v>
      </c>
      <c r="Q11" s="2" t="s">
        <v>400</v>
      </c>
      <c r="R11" s="2">
        <v>674</v>
      </c>
      <c r="S11" s="2">
        <v>291</v>
      </c>
      <c r="T11" s="2">
        <v>291</v>
      </c>
      <c r="U11" s="2">
        <v>9</v>
      </c>
      <c r="V11" s="2">
        <v>282</v>
      </c>
      <c r="W11" s="2">
        <v>155</v>
      </c>
      <c r="X11" s="2">
        <v>70</v>
      </c>
      <c r="Y11" s="2">
        <v>0</v>
      </c>
      <c r="Z11" s="2">
        <v>4</v>
      </c>
      <c r="AA11" s="2">
        <v>19</v>
      </c>
      <c r="AB11" s="2">
        <v>5</v>
      </c>
      <c r="AC11" s="2">
        <v>8</v>
      </c>
      <c r="AD11" s="2">
        <v>0</v>
      </c>
      <c r="AE11" s="2">
        <v>1</v>
      </c>
      <c r="AF11" s="2">
        <v>2</v>
      </c>
      <c r="AG11" s="2">
        <v>6</v>
      </c>
      <c r="AH11" s="2">
        <v>0</v>
      </c>
      <c r="AI11" s="2">
        <v>0</v>
      </c>
      <c r="AJ11" s="2">
        <v>9</v>
      </c>
      <c r="AK11" s="2">
        <v>0</v>
      </c>
      <c r="AL11" s="2">
        <v>0</v>
      </c>
      <c r="AM11" s="2">
        <v>1</v>
      </c>
      <c r="AN11" s="2">
        <v>2</v>
      </c>
      <c r="AO11" s="2">
        <v>0</v>
      </c>
      <c r="AP11" s="2">
        <v>674</v>
      </c>
      <c r="AQ11" s="2">
        <v>376</v>
      </c>
      <c r="AR11" s="2">
        <v>376</v>
      </c>
      <c r="AS11" s="2">
        <v>5</v>
      </c>
      <c r="AT11" s="2">
        <v>371</v>
      </c>
      <c r="AU11" s="2">
        <v>2</v>
      </c>
      <c r="AV11" s="2">
        <v>3</v>
      </c>
      <c r="AW11" s="2">
        <v>9</v>
      </c>
      <c r="AX11" s="2">
        <v>75</v>
      </c>
      <c r="AY11" s="2">
        <v>21</v>
      </c>
      <c r="AZ11" s="2">
        <v>232</v>
      </c>
      <c r="BA11" s="2">
        <v>16</v>
      </c>
      <c r="BB11" s="2">
        <v>13</v>
      </c>
      <c r="BC11" s="11" t="s">
        <v>13</v>
      </c>
      <c r="BD11" s="11" t="s">
        <v>424</v>
      </c>
      <c r="BE11" s="11">
        <v>70840</v>
      </c>
      <c r="BF11" s="11" t="s">
        <v>400</v>
      </c>
      <c r="BG11" s="11">
        <v>9</v>
      </c>
      <c r="BH11" s="11">
        <v>659</v>
      </c>
      <c r="BI11" s="11">
        <v>384</v>
      </c>
      <c r="BJ11" s="11">
        <v>384</v>
      </c>
      <c r="BK11" s="11">
        <v>7</v>
      </c>
      <c r="BL11" s="11">
        <v>377</v>
      </c>
      <c r="BM11" s="11">
        <v>188</v>
      </c>
      <c r="BN11" s="11">
        <v>39</v>
      </c>
      <c r="BO11" s="11">
        <v>2</v>
      </c>
      <c r="BP11" s="11">
        <v>12</v>
      </c>
      <c r="BQ11" s="11">
        <v>19</v>
      </c>
      <c r="BR11" s="11">
        <v>0</v>
      </c>
      <c r="BS11" s="11">
        <v>93</v>
      </c>
      <c r="BT11" s="11">
        <v>0</v>
      </c>
      <c r="BU11" s="11">
        <v>0</v>
      </c>
      <c r="BV11" s="11">
        <v>0</v>
      </c>
      <c r="BW11" s="11">
        <v>3</v>
      </c>
      <c r="BX11" s="11">
        <v>4</v>
      </c>
      <c r="BY11" s="11">
        <v>0</v>
      </c>
      <c r="BZ11" s="11">
        <v>12</v>
      </c>
      <c r="CA11" s="11">
        <v>3</v>
      </c>
      <c r="CB11" s="11">
        <v>1</v>
      </c>
      <c r="CC11" s="11">
        <v>1</v>
      </c>
      <c r="CD11" s="11">
        <v>0</v>
      </c>
      <c r="CE11">
        <f t="shared" si="0"/>
        <v>229</v>
      </c>
      <c r="CF11">
        <f t="shared" si="1"/>
        <v>31</v>
      </c>
      <c r="CG11">
        <f t="shared" si="2"/>
        <v>100</v>
      </c>
      <c r="CH11">
        <f t="shared" si="3"/>
        <v>12</v>
      </c>
      <c r="CI11">
        <v>1</v>
      </c>
      <c r="CJ11" s="11">
        <v>659</v>
      </c>
      <c r="CK11" s="14">
        <v>0.58270106221547802</v>
      </c>
      <c r="CL11" s="14">
        <v>0.59635416666666663</v>
      </c>
      <c r="CM11" s="14">
        <v>8.8541666666666671E-2</v>
      </c>
      <c r="CN11" s="14">
        <v>0.26302083333333331</v>
      </c>
      <c r="CO11" s="14">
        <v>3.125E-2</v>
      </c>
      <c r="CP11" s="14">
        <v>2.6041666666666665E-3</v>
      </c>
      <c r="CQ11" s="30">
        <v>8</v>
      </c>
      <c r="CR11" s="15">
        <v>229</v>
      </c>
      <c r="CS11">
        <v>21</v>
      </c>
      <c r="CT11">
        <v>30</v>
      </c>
      <c r="CV11">
        <v>2</v>
      </c>
      <c r="CW11" s="14">
        <v>0.43175074183976259</v>
      </c>
      <c r="CX11" s="14">
        <v>0.78694158075601373</v>
      </c>
      <c r="CY11" s="14">
        <v>7.2164948453608241E-2</v>
      </c>
      <c r="CZ11" s="14">
        <v>0.10309278350515463</v>
      </c>
      <c r="DA11" s="14">
        <v>0</v>
      </c>
      <c r="DB11" s="14">
        <v>6.8728522336769758E-3</v>
      </c>
      <c r="DC11" s="30">
        <v>5</v>
      </c>
      <c r="DD11" s="14" t="s">
        <v>490</v>
      </c>
      <c r="DE11" s="17" t="s">
        <v>439</v>
      </c>
      <c r="DF11" s="17" t="s">
        <v>437</v>
      </c>
      <c r="DG11" s="17" t="s">
        <v>443</v>
      </c>
      <c r="DH11" s="21">
        <v>244.53</v>
      </c>
      <c r="DI11" s="16">
        <v>659</v>
      </c>
      <c r="DJ11" s="16">
        <v>0</v>
      </c>
      <c r="DK11" s="16">
        <v>384</v>
      </c>
      <c r="DL11" s="23">
        <v>0.58270106221547802</v>
      </c>
      <c r="DM11" s="16">
        <v>0</v>
      </c>
      <c r="DN11">
        <v>0</v>
      </c>
      <c r="DO11" s="25"/>
      <c r="DP11" s="25"/>
      <c r="DQ11" s="25"/>
      <c r="DR11" s="26"/>
      <c r="DS11" s="26"/>
    </row>
    <row r="12" spans="1:129" ht="14.25" customHeight="1">
      <c r="A12" s="2">
        <v>4861</v>
      </c>
      <c r="B12" s="3" t="s">
        <v>42</v>
      </c>
      <c r="C12" s="3" t="s">
        <v>44</v>
      </c>
      <c r="D12" s="4">
        <v>10</v>
      </c>
      <c r="E12" s="3" t="s">
        <v>69</v>
      </c>
      <c r="F12" s="3" t="s">
        <v>64</v>
      </c>
      <c r="G12" s="4" t="s">
        <v>70</v>
      </c>
      <c r="H12" s="4" t="b">
        <v>1</v>
      </c>
      <c r="I12" s="4" t="b">
        <v>1</v>
      </c>
      <c r="J12" s="5" t="s">
        <v>70</v>
      </c>
      <c r="K12" s="5" t="s">
        <v>44</v>
      </c>
      <c r="L12" s="5" t="s">
        <v>69</v>
      </c>
      <c r="M12" s="5" t="s">
        <v>64</v>
      </c>
      <c r="N12" s="2" t="s">
        <v>13</v>
      </c>
      <c r="O12" s="2" t="s">
        <v>399</v>
      </c>
      <c r="P12" s="2">
        <v>70840</v>
      </c>
      <c r="Q12" s="2" t="s">
        <v>400</v>
      </c>
      <c r="R12" s="2">
        <v>1435</v>
      </c>
      <c r="S12" s="2">
        <v>735</v>
      </c>
      <c r="T12" s="2">
        <v>735</v>
      </c>
      <c r="U12" s="2">
        <v>19</v>
      </c>
      <c r="V12" s="2">
        <v>716</v>
      </c>
      <c r="W12" s="2">
        <v>328</v>
      </c>
      <c r="X12" s="2">
        <v>86</v>
      </c>
      <c r="Y12" s="2">
        <v>2</v>
      </c>
      <c r="Z12" s="2">
        <v>21</v>
      </c>
      <c r="AA12" s="2">
        <v>116</v>
      </c>
      <c r="AB12" s="2">
        <v>35</v>
      </c>
      <c r="AC12" s="2">
        <v>41</v>
      </c>
      <c r="AD12" s="2">
        <v>1</v>
      </c>
      <c r="AE12" s="2">
        <v>13</v>
      </c>
      <c r="AF12" s="2">
        <v>16</v>
      </c>
      <c r="AG12" s="2">
        <v>29</v>
      </c>
      <c r="AH12" s="2">
        <v>2</v>
      </c>
      <c r="AI12" s="2">
        <v>0</v>
      </c>
      <c r="AJ12" s="2">
        <v>16</v>
      </c>
      <c r="AK12" s="2">
        <v>0</v>
      </c>
      <c r="AL12" s="2">
        <v>0</v>
      </c>
      <c r="AM12" s="2">
        <v>8</v>
      </c>
      <c r="AN12" s="2">
        <v>0</v>
      </c>
      <c r="AO12" s="2">
        <v>2</v>
      </c>
      <c r="AP12" s="2">
        <v>1435</v>
      </c>
      <c r="AQ12" s="2">
        <v>735</v>
      </c>
      <c r="AR12" s="2">
        <v>733</v>
      </c>
      <c r="AS12" s="2">
        <v>12</v>
      </c>
      <c r="AT12" s="2">
        <v>721</v>
      </c>
      <c r="AU12" s="2">
        <v>7</v>
      </c>
      <c r="AV12" s="2">
        <v>18</v>
      </c>
      <c r="AW12" s="2">
        <v>11</v>
      </c>
      <c r="AX12" s="2">
        <v>126</v>
      </c>
      <c r="AY12" s="2">
        <v>43</v>
      </c>
      <c r="AZ12" s="2">
        <v>441</v>
      </c>
      <c r="BA12" s="2">
        <v>37</v>
      </c>
      <c r="BB12" s="2">
        <v>38</v>
      </c>
      <c r="BC12" s="11" t="s">
        <v>13</v>
      </c>
      <c r="BD12" s="11" t="s">
        <v>424</v>
      </c>
      <c r="BE12" s="11">
        <v>70840</v>
      </c>
      <c r="BF12" s="11" t="s">
        <v>400</v>
      </c>
      <c r="BG12" s="11">
        <v>10</v>
      </c>
      <c r="BH12" s="11">
        <v>1467</v>
      </c>
      <c r="BI12" s="11">
        <v>731</v>
      </c>
      <c r="BJ12" s="11">
        <v>731</v>
      </c>
      <c r="BK12" s="11">
        <v>13</v>
      </c>
      <c r="BL12" s="11">
        <v>718</v>
      </c>
      <c r="BM12" s="11">
        <v>381</v>
      </c>
      <c r="BN12" s="11">
        <v>46</v>
      </c>
      <c r="BO12" s="11">
        <v>10</v>
      </c>
      <c r="BP12" s="11">
        <v>32</v>
      </c>
      <c r="BQ12" s="11">
        <v>19</v>
      </c>
      <c r="BR12" s="11">
        <v>2</v>
      </c>
      <c r="BS12" s="11">
        <v>169</v>
      </c>
      <c r="BT12" s="11">
        <v>1</v>
      </c>
      <c r="BU12" s="11">
        <v>1</v>
      </c>
      <c r="BV12" s="11">
        <v>0</v>
      </c>
      <c r="BW12" s="11">
        <v>6</v>
      </c>
      <c r="BX12" s="11">
        <v>6</v>
      </c>
      <c r="BY12" s="11">
        <v>0</v>
      </c>
      <c r="BZ12" s="11">
        <v>37</v>
      </c>
      <c r="CA12" s="11">
        <v>3</v>
      </c>
      <c r="CB12" s="11">
        <v>4</v>
      </c>
      <c r="CC12" s="11">
        <v>1</v>
      </c>
      <c r="CD12" s="11">
        <v>0</v>
      </c>
      <c r="CE12">
        <f t="shared" si="0"/>
        <v>437</v>
      </c>
      <c r="CF12">
        <f t="shared" si="1"/>
        <v>51</v>
      </c>
      <c r="CG12">
        <f t="shared" si="2"/>
        <v>181</v>
      </c>
      <c r="CH12">
        <f t="shared" si="3"/>
        <v>37</v>
      </c>
      <c r="CI12">
        <v>8</v>
      </c>
      <c r="CJ12" s="11">
        <v>1467</v>
      </c>
      <c r="CK12" s="14">
        <v>0.49829584185412407</v>
      </c>
      <c r="CL12" s="14">
        <v>0.5978112175102599</v>
      </c>
      <c r="CM12" s="14">
        <v>7.7975376196990423E-2</v>
      </c>
      <c r="CN12" s="14">
        <v>0.24487004103967169</v>
      </c>
      <c r="CO12" s="14">
        <v>5.0615595075239397E-2</v>
      </c>
      <c r="CP12" s="14">
        <v>1.094391244870041E-2</v>
      </c>
      <c r="CQ12" s="30">
        <v>6</v>
      </c>
      <c r="CR12" s="15">
        <v>435</v>
      </c>
      <c r="CS12">
        <v>121</v>
      </c>
      <c r="CT12">
        <v>155</v>
      </c>
      <c r="CV12">
        <v>5</v>
      </c>
      <c r="CW12" s="14">
        <v>0.51219512195121952</v>
      </c>
      <c r="CX12" s="14">
        <v>0.59183673469387754</v>
      </c>
      <c r="CY12" s="14">
        <v>0.16462585034013605</v>
      </c>
      <c r="CZ12" s="14">
        <v>0.21088435374149661</v>
      </c>
      <c r="DA12" s="14">
        <v>0</v>
      </c>
      <c r="DB12" s="14">
        <v>6.8027210884353739E-3</v>
      </c>
      <c r="DC12" s="30">
        <v>6</v>
      </c>
      <c r="DD12" s="14" t="s">
        <v>482</v>
      </c>
      <c r="DE12" s="17" t="s">
        <v>438</v>
      </c>
      <c r="DF12" s="17" t="s">
        <v>438</v>
      </c>
      <c r="DG12" s="17" t="s">
        <v>451</v>
      </c>
      <c r="DH12" s="21">
        <v>534.09</v>
      </c>
      <c r="DI12" s="22">
        <v>1467</v>
      </c>
      <c r="DJ12" s="16">
        <v>1</v>
      </c>
      <c r="DK12" s="16">
        <v>731</v>
      </c>
      <c r="DL12" s="23">
        <v>0.49829584185412407</v>
      </c>
      <c r="DM12" s="16">
        <v>1</v>
      </c>
      <c r="DN12">
        <v>6</v>
      </c>
      <c r="DO12" s="24"/>
      <c r="DP12" s="25"/>
      <c r="DQ12" s="25"/>
      <c r="DR12" s="27"/>
      <c r="DS12" s="26"/>
    </row>
    <row r="13" spans="1:129" ht="14.25" customHeight="1">
      <c r="A13" s="2">
        <v>4862</v>
      </c>
      <c r="B13" s="3" t="s">
        <v>42</v>
      </c>
      <c r="C13" s="3" t="s">
        <v>44</v>
      </c>
      <c r="D13" s="4">
        <v>11</v>
      </c>
      <c r="E13" s="3" t="s">
        <v>71</v>
      </c>
      <c r="F13" s="3" t="s">
        <v>72</v>
      </c>
      <c r="G13" s="4" t="s">
        <v>73</v>
      </c>
      <c r="H13" s="4" t="b">
        <v>1</v>
      </c>
      <c r="I13" s="4" t="b">
        <v>1</v>
      </c>
      <c r="J13" s="5" t="s">
        <v>73</v>
      </c>
      <c r="K13" s="5" t="s">
        <v>44</v>
      </c>
      <c r="L13" s="5" t="s">
        <v>71</v>
      </c>
      <c r="M13" s="5" t="s">
        <v>72</v>
      </c>
      <c r="N13" s="2" t="s">
        <v>13</v>
      </c>
      <c r="O13" s="2" t="s">
        <v>399</v>
      </c>
      <c r="P13" s="2">
        <v>70840</v>
      </c>
      <c r="Q13" s="2" t="s">
        <v>400</v>
      </c>
      <c r="R13" s="2">
        <v>1997</v>
      </c>
      <c r="S13" s="2">
        <v>979</v>
      </c>
      <c r="T13" s="2">
        <v>979</v>
      </c>
      <c r="U13" s="2">
        <v>16</v>
      </c>
      <c r="V13" s="2">
        <v>963</v>
      </c>
      <c r="W13" s="2">
        <v>484</v>
      </c>
      <c r="X13" s="2">
        <v>118</v>
      </c>
      <c r="Y13" s="2">
        <v>0</v>
      </c>
      <c r="Z13" s="2">
        <v>17</v>
      </c>
      <c r="AA13" s="2">
        <v>162</v>
      </c>
      <c r="AB13" s="2">
        <v>28</v>
      </c>
      <c r="AC13" s="2">
        <v>30</v>
      </c>
      <c r="AD13" s="2">
        <v>0</v>
      </c>
      <c r="AE13" s="2">
        <v>30</v>
      </c>
      <c r="AF13" s="2">
        <v>19</v>
      </c>
      <c r="AG13" s="2">
        <v>40</v>
      </c>
      <c r="AH13" s="2">
        <v>0</v>
      </c>
      <c r="AI13" s="2">
        <v>0</v>
      </c>
      <c r="AJ13" s="2">
        <v>24</v>
      </c>
      <c r="AK13" s="2">
        <v>0</v>
      </c>
      <c r="AL13" s="2">
        <v>0</v>
      </c>
      <c r="AM13" s="2">
        <v>8</v>
      </c>
      <c r="AN13" s="2">
        <v>1</v>
      </c>
      <c r="AO13" s="2">
        <v>2</v>
      </c>
      <c r="AP13" s="2">
        <v>1997</v>
      </c>
      <c r="AQ13" s="2">
        <v>980</v>
      </c>
      <c r="AR13" s="2">
        <v>980</v>
      </c>
      <c r="AS13" s="2">
        <v>21</v>
      </c>
      <c r="AT13" s="2">
        <v>959</v>
      </c>
      <c r="AU13" s="2">
        <v>11</v>
      </c>
      <c r="AV13" s="2">
        <v>19</v>
      </c>
      <c r="AW13" s="2">
        <v>20</v>
      </c>
      <c r="AX13" s="2">
        <v>163</v>
      </c>
      <c r="AY13" s="2">
        <v>41</v>
      </c>
      <c r="AZ13" s="2">
        <v>622</v>
      </c>
      <c r="BA13" s="2">
        <v>36</v>
      </c>
      <c r="BB13" s="2">
        <v>47</v>
      </c>
      <c r="BC13" s="11" t="s">
        <v>13</v>
      </c>
      <c r="BD13" s="11" t="s">
        <v>424</v>
      </c>
      <c r="BE13" s="11">
        <v>70840</v>
      </c>
      <c r="BF13" s="11" t="s">
        <v>400</v>
      </c>
      <c r="BG13" s="11">
        <v>11</v>
      </c>
      <c r="BH13" s="11">
        <v>2070</v>
      </c>
      <c r="BI13" s="11">
        <v>1016</v>
      </c>
      <c r="BJ13" s="11">
        <v>1016</v>
      </c>
      <c r="BK13" s="11">
        <v>40</v>
      </c>
      <c r="BL13" s="11">
        <v>976</v>
      </c>
      <c r="BM13" s="11">
        <v>532</v>
      </c>
      <c r="BN13" s="11">
        <v>74</v>
      </c>
      <c r="BO13" s="11">
        <v>21</v>
      </c>
      <c r="BP13" s="11">
        <v>27</v>
      </c>
      <c r="BQ13" s="11">
        <v>29</v>
      </c>
      <c r="BR13" s="11">
        <v>0</v>
      </c>
      <c r="BS13" s="11">
        <v>233</v>
      </c>
      <c r="BT13" s="11">
        <v>0</v>
      </c>
      <c r="BU13" s="11">
        <v>2</v>
      </c>
      <c r="BV13" s="11">
        <v>2</v>
      </c>
      <c r="BW13" s="11">
        <v>4</v>
      </c>
      <c r="BX13" s="11">
        <v>8</v>
      </c>
      <c r="BY13" s="11">
        <v>0</v>
      </c>
      <c r="BZ13" s="11">
        <v>40</v>
      </c>
      <c r="CA13" s="11">
        <v>1</v>
      </c>
      <c r="CB13" s="11">
        <v>2</v>
      </c>
      <c r="CC13" s="11">
        <v>1</v>
      </c>
      <c r="CD13" s="11">
        <v>0</v>
      </c>
      <c r="CE13">
        <f t="shared" si="0"/>
        <v>627</v>
      </c>
      <c r="CF13">
        <f t="shared" si="1"/>
        <v>56</v>
      </c>
      <c r="CG13">
        <f t="shared" si="2"/>
        <v>245</v>
      </c>
      <c r="CH13">
        <f t="shared" si="3"/>
        <v>40</v>
      </c>
      <c r="CI13">
        <v>6</v>
      </c>
      <c r="CJ13" s="11">
        <v>2070</v>
      </c>
      <c r="CK13" s="14">
        <v>0.49082125603864735</v>
      </c>
      <c r="CL13" s="14">
        <v>0.61712598425196852</v>
      </c>
      <c r="CM13" s="14">
        <v>5.905511811023622E-2</v>
      </c>
      <c r="CN13" s="14">
        <v>0.23917322834645668</v>
      </c>
      <c r="CO13" s="14">
        <v>3.937007874015748E-2</v>
      </c>
      <c r="CP13" s="14">
        <v>5.905511811023622E-3</v>
      </c>
      <c r="CQ13" s="30">
        <v>5</v>
      </c>
      <c r="CR13" s="15">
        <v>619</v>
      </c>
      <c r="CS13">
        <v>117</v>
      </c>
      <c r="CT13">
        <v>224</v>
      </c>
      <c r="CV13">
        <v>3</v>
      </c>
      <c r="CW13" s="14">
        <v>0.4902353530295443</v>
      </c>
      <c r="CX13" s="14">
        <v>0.63227783452502551</v>
      </c>
      <c r="CY13" s="14">
        <v>0.1195097037793667</v>
      </c>
      <c r="CZ13" s="14">
        <v>0.22880490296220635</v>
      </c>
      <c r="DA13" s="14">
        <v>0</v>
      </c>
      <c r="DB13" s="14">
        <v>3.0643513789581204E-3</v>
      </c>
      <c r="DC13" s="30">
        <v>6</v>
      </c>
      <c r="DD13" s="14" t="s">
        <v>476</v>
      </c>
      <c r="DE13" s="17" t="s">
        <v>437</v>
      </c>
      <c r="DF13" s="17" t="s">
        <v>438</v>
      </c>
      <c r="DG13" s="17" t="s">
        <v>455</v>
      </c>
      <c r="DH13" s="21">
        <v>734.86000000000013</v>
      </c>
      <c r="DI13" s="22">
        <v>2070</v>
      </c>
      <c r="DJ13" s="16">
        <v>1</v>
      </c>
      <c r="DK13" s="16">
        <v>1016</v>
      </c>
      <c r="DL13" s="23">
        <v>0.49082125603864735</v>
      </c>
      <c r="DM13" s="16">
        <v>1</v>
      </c>
      <c r="DN13">
        <v>5</v>
      </c>
      <c r="DO13" s="24"/>
      <c r="DP13" s="25"/>
      <c r="DQ13" s="25"/>
      <c r="DR13" s="27"/>
      <c r="DS13" s="26"/>
    </row>
    <row r="14" spans="1:129" ht="14.25" customHeight="1">
      <c r="A14" s="2">
        <v>4863</v>
      </c>
      <c r="B14" s="3" t="s">
        <v>42</v>
      </c>
      <c r="C14" s="3" t="s">
        <v>44</v>
      </c>
      <c r="D14" s="4">
        <v>12</v>
      </c>
      <c r="E14" s="3" t="s">
        <v>74</v>
      </c>
      <c r="F14" s="3" t="s">
        <v>67</v>
      </c>
      <c r="G14" s="4" t="s">
        <v>75</v>
      </c>
      <c r="H14" s="4" t="b">
        <v>1</v>
      </c>
      <c r="I14" s="4" t="b">
        <v>1</v>
      </c>
      <c r="J14" s="5" t="s">
        <v>75</v>
      </c>
      <c r="K14" s="5" t="s">
        <v>44</v>
      </c>
      <c r="L14" s="5" t="s">
        <v>74</v>
      </c>
      <c r="M14" s="5" t="s">
        <v>67</v>
      </c>
      <c r="N14" s="2" t="s">
        <v>13</v>
      </c>
      <c r="O14" s="2" t="s">
        <v>399</v>
      </c>
      <c r="P14" s="2">
        <v>70840</v>
      </c>
      <c r="Q14" s="2" t="s">
        <v>400</v>
      </c>
      <c r="R14" s="2">
        <v>1071</v>
      </c>
      <c r="S14" s="2">
        <v>565</v>
      </c>
      <c r="T14" s="2">
        <v>565</v>
      </c>
      <c r="U14" s="2">
        <v>22</v>
      </c>
      <c r="V14" s="2">
        <v>543</v>
      </c>
      <c r="W14" s="2">
        <v>269</v>
      </c>
      <c r="X14" s="2">
        <v>66</v>
      </c>
      <c r="Y14" s="2">
        <v>0</v>
      </c>
      <c r="Z14" s="2">
        <v>10</v>
      </c>
      <c r="AA14" s="2">
        <v>99</v>
      </c>
      <c r="AB14" s="2">
        <v>18</v>
      </c>
      <c r="AC14" s="2">
        <v>17</v>
      </c>
      <c r="AD14" s="2">
        <v>1</v>
      </c>
      <c r="AE14" s="2">
        <v>10</v>
      </c>
      <c r="AF14" s="2">
        <v>13</v>
      </c>
      <c r="AG14" s="2">
        <v>25</v>
      </c>
      <c r="AH14" s="2">
        <v>1</v>
      </c>
      <c r="AI14" s="2">
        <v>0</v>
      </c>
      <c r="AJ14" s="2">
        <v>7</v>
      </c>
      <c r="AK14" s="2">
        <v>0</v>
      </c>
      <c r="AL14" s="2">
        <v>0</v>
      </c>
      <c r="AM14" s="2">
        <v>5</v>
      </c>
      <c r="AN14" s="2">
        <v>1</v>
      </c>
      <c r="AO14" s="2">
        <v>1</v>
      </c>
      <c r="AP14" s="2">
        <v>1071</v>
      </c>
      <c r="AQ14" s="2">
        <v>565</v>
      </c>
      <c r="AR14" s="2">
        <v>565</v>
      </c>
      <c r="AS14" s="2">
        <v>14</v>
      </c>
      <c r="AT14" s="2">
        <v>551</v>
      </c>
      <c r="AU14" s="2">
        <v>2</v>
      </c>
      <c r="AV14" s="2">
        <v>7</v>
      </c>
      <c r="AW14" s="2">
        <v>8</v>
      </c>
      <c r="AX14" s="2">
        <v>109</v>
      </c>
      <c r="AY14" s="2">
        <v>22</v>
      </c>
      <c r="AZ14" s="2">
        <v>356</v>
      </c>
      <c r="BA14" s="2">
        <v>20</v>
      </c>
      <c r="BB14" s="2">
        <v>27</v>
      </c>
      <c r="BC14" s="11" t="s">
        <v>13</v>
      </c>
      <c r="BD14" s="11" t="s">
        <v>424</v>
      </c>
      <c r="BE14" s="11">
        <v>70840</v>
      </c>
      <c r="BF14" s="11" t="s">
        <v>400</v>
      </c>
      <c r="BG14" s="11">
        <v>12</v>
      </c>
      <c r="BH14" s="11">
        <v>1062</v>
      </c>
      <c r="BI14" s="11">
        <v>552</v>
      </c>
      <c r="BJ14" s="11">
        <v>552</v>
      </c>
      <c r="BK14" s="11">
        <v>16</v>
      </c>
      <c r="BL14" s="11">
        <v>536</v>
      </c>
      <c r="BM14" s="11">
        <v>278</v>
      </c>
      <c r="BN14" s="11">
        <v>43</v>
      </c>
      <c r="BO14" s="11">
        <v>5</v>
      </c>
      <c r="BP14" s="11">
        <v>14</v>
      </c>
      <c r="BQ14" s="11">
        <v>20</v>
      </c>
      <c r="BR14" s="11">
        <v>0</v>
      </c>
      <c r="BS14" s="11">
        <v>130</v>
      </c>
      <c r="BT14" s="11">
        <v>0</v>
      </c>
      <c r="BU14" s="11">
        <v>0</v>
      </c>
      <c r="BV14" s="11">
        <v>0</v>
      </c>
      <c r="BW14" s="11">
        <v>5</v>
      </c>
      <c r="BX14" s="11">
        <v>12</v>
      </c>
      <c r="BY14" s="11">
        <v>0</v>
      </c>
      <c r="BZ14" s="11">
        <v>26</v>
      </c>
      <c r="CA14" s="11">
        <v>0</v>
      </c>
      <c r="CB14" s="11">
        <v>1</v>
      </c>
      <c r="CC14" s="11">
        <v>2</v>
      </c>
      <c r="CD14" s="11">
        <v>0</v>
      </c>
      <c r="CE14">
        <f t="shared" si="0"/>
        <v>326</v>
      </c>
      <c r="CF14">
        <f t="shared" si="1"/>
        <v>34</v>
      </c>
      <c r="CG14">
        <f t="shared" si="2"/>
        <v>147</v>
      </c>
      <c r="CH14">
        <f t="shared" si="3"/>
        <v>26</v>
      </c>
      <c r="CI14">
        <v>1</v>
      </c>
      <c r="CJ14" s="11">
        <v>1062</v>
      </c>
      <c r="CK14" s="14">
        <v>0.51977401129943501</v>
      </c>
      <c r="CL14" s="14">
        <v>0.59057971014492749</v>
      </c>
      <c r="CM14" s="14">
        <v>7.0652173913043473E-2</v>
      </c>
      <c r="CN14" s="14">
        <v>0.2608695652173913</v>
      </c>
      <c r="CO14" s="14">
        <v>4.710144927536232E-2</v>
      </c>
      <c r="CP14" s="14">
        <v>1.8115942028985507E-3</v>
      </c>
      <c r="CQ14" s="30">
        <v>6</v>
      </c>
      <c r="CR14" s="15">
        <v>345</v>
      </c>
      <c r="CS14">
        <v>73</v>
      </c>
      <c r="CT14">
        <v>122</v>
      </c>
      <c r="CV14">
        <v>3</v>
      </c>
      <c r="CW14" s="14">
        <v>0.52754435107376285</v>
      </c>
      <c r="CX14" s="14">
        <v>0.61061946902654862</v>
      </c>
      <c r="CY14" s="14">
        <v>0.12920353982300886</v>
      </c>
      <c r="CZ14" s="14">
        <v>0.21592920353982301</v>
      </c>
      <c r="DA14" s="14">
        <v>0</v>
      </c>
      <c r="DB14" s="14">
        <v>5.3097345132743362E-3</v>
      </c>
      <c r="DC14" s="30">
        <v>6</v>
      </c>
      <c r="DD14" s="14" t="s">
        <v>482</v>
      </c>
      <c r="DE14" s="17" t="s">
        <v>438</v>
      </c>
      <c r="DF14" s="17" t="s">
        <v>438</v>
      </c>
      <c r="DG14" s="17" t="s">
        <v>451</v>
      </c>
      <c r="DH14" s="21">
        <v>393.85</v>
      </c>
      <c r="DI14" s="22">
        <v>1062</v>
      </c>
      <c r="DJ14" s="16">
        <v>1</v>
      </c>
      <c r="DK14" s="16">
        <v>552</v>
      </c>
      <c r="DL14" s="23">
        <v>0.51977401129943501</v>
      </c>
      <c r="DM14" s="16">
        <v>1</v>
      </c>
      <c r="DN14">
        <v>6</v>
      </c>
      <c r="DO14" s="24"/>
      <c r="DP14" s="25"/>
      <c r="DQ14" s="25"/>
      <c r="DR14" s="27"/>
      <c r="DS14" s="26"/>
    </row>
    <row r="15" spans="1:129" ht="14.25" customHeight="1">
      <c r="A15" s="2">
        <v>4864</v>
      </c>
      <c r="B15" s="3" t="s">
        <v>42</v>
      </c>
      <c r="C15" s="3" t="s">
        <v>44</v>
      </c>
      <c r="D15" s="4">
        <v>13</v>
      </c>
      <c r="E15" s="3" t="s">
        <v>76</v>
      </c>
      <c r="F15" s="3" t="s">
        <v>77</v>
      </c>
      <c r="G15" s="4" t="s">
        <v>78</v>
      </c>
      <c r="H15" s="4" t="b">
        <v>1</v>
      </c>
      <c r="I15" s="4" t="b">
        <v>1</v>
      </c>
      <c r="J15" s="5" t="s">
        <v>78</v>
      </c>
      <c r="K15" s="5" t="s">
        <v>44</v>
      </c>
      <c r="L15" s="5" t="s">
        <v>76</v>
      </c>
      <c r="M15" s="5" t="s">
        <v>77</v>
      </c>
      <c r="N15" s="2" t="s">
        <v>13</v>
      </c>
      <c r="O15" s="2" t="s">
        <v>399</v>
      </c>
      <c r="P15" s="2">
        <v>70840</v>
      </c>
      <c r="Q15" s="2" t="s">
        <v>400</v>
      </c>
      <c r="R15" s="2">
        <v>678</v>
      </c>
      <c r="S15" s="2">
        <v>358</v>
      </c>
      <c r="T15" s="2">
        <v>357</v>
      </c>
      <c r="U15" s="2">
        <v>9</v>
      </c>
      <c r="V15" s="2">
        <v>348</v>
      </c>
      <c r="W15" s="2">
        <v>153</v>
      </c>
      <c r="X15" s="2">
        <v>44</v>
      </c>
      <c r="Y15" s="2">
        <v>0</v>
      </c>
      <c r="Z15" s="2">
        <v>7</v>
      </c>
      <c r="AA15" s="2">
        <v>75</v>
      </c>
      <c r="AB15" s="2">
        <v>17</v>
      </c>
      <c r="AC15" s="2">
        <v>13</v>
      </c>
      <c r="AD15" s="2">
        <v>0</v>
      </c>
      <c r="AE15" s="2">
        <v>9</v>
      </c>
      <c r="AF15" s="2">
        <v>5</v>
      </c>
      <c r="AG15" s="2">
        <v>14</v>
      </c>
      <c r="AH15" s="2">
        <v>0</v>
      </c>
      <c r="AI15" s="2">
        <v>0</v>
      </c>
      <c r="AJ15" s="2">
        <v>5</v>
      </c>
      <c r="AK15" s="2">
        <v>0</v>
      </c>
      <c r="AL15" s="2">
        <v>0</v>
      </c>
      <c r="AM15" s="2">
        <v>5</v>
      </c>
      <c r="AN15" s="2">
        <v>0</v>
      </c>
      <c r="AO15" s="2">
        <v>1</v>
      </c>
      <c r="AP15" s="2">
        <v>678</v>
      </c>
      <c r="AQ15" s="2">
        <v>358</v>
      </c>
      <c r="AR15" s="2">
        <v>357</v>
      </c>
      <c r="AS15" s="2">
        <v>10</v>
      </c>
      <c r="AT15" s="2">
        <v>347</v>
      </c>
      <c r="AU15" s="2">
        <v>4</v>
      </c>
      <c r="AV15" s="2">
        <v>9</v>
      </c>
      <c r="AW15" s="2">
        <v>6</v>
      </c>
      <c r="AX15" s="2">
        <v>85</v>
      </c>
      <c r="AY15" s="2">
        <v>12</v>
      </c>
      <c r="AZ15" s="2">
        <v>203</v>
      </c>
      <c r="BA15" s="2">
        <v>14</v>
      </c>
      <c r="BB15" s="2">
        <v>14</v>
      </c>
      <c r="BC15" s="11" t="s">
        <v>13</v>
      </c>
      <c r="BD15" s="11" t="s">
        <v>424</v>
      </c>
      <c r="BE15" s="11">
        <v>70840</v>
      </c>
      <c r="BF15" s="11" t="s">
        <v>400</v>
      </c>
      <c r="BG15" s="11">
        <v>13</v>
      </c>
      <c r="BH15" s="11">
        <v>660</v>
      </c>
      <c r="BI15" s="11">
        <v>320</v>
      </c>
      <c r="BJ15" s="11">
        <v>320</v>
      </c>
      <c r="BK15" s="11">
        <v>9</v>
      </c>
      <c r="BL15" s="11">
        <v>311</v>
      </c>
      <c r="BM15" s="11">
        <v>153</v>
      </c>
      <c r="BN15" s="11">
        <v>24</v>
      </c>
      <c r="BO15" s="11">
        <v>5</v>
      </c>
      <c r="BP15" s="11">
        <v>11</v>
      </c>
      <c r="BQ15" s="11">
        <v>12</v>
      </c>
      <c r="BR15" s="11">
        <v>0</v>
      </c>
      <c r="BS15" s="11">
        <v>85</v>
      </c>
      <c r="BT15" s="11">
        <v>1</v>
      </c>
      <c r="BU15" s="11">
        <v>1</v>
      </c>
      <c r="BV15" s="11">
        <v>1</v>
      </c>
      <c r="BW15" s="11">
        <v>1</v>
      </c>
      <c r="BX15" s="11">
        <v>1</v>
      </c>
      <c r="BY15" s="11">
        <v>0</v>
      </c>
      <c r="BZ15" s="11">
        <v>12</v>
      </c>
      <c r="CA15" s="11">
        <v>0</v>
      </c>
      <c r="CB15" s="11">
        <v>0</v>
      </c>
      <c r="CC15" s="11">
        <v>2</v>
      </c>
      <c r="CD15" s="11">
        <v>2</v>
      </c>
      <c r="CE15">
        <f t="shared" si="0"/>
        <v>182</v>
      </c>
      <c r="CF15">
        <f t="shared" si="1"/>
        <v>23</v>
      </c>
      <c r="CG15">
        <f t="shared" si="2"/>
        <v>87</v>
      </c>
      <c r="CH15">
        <f t="shared" si="3"/>
        <v>12</v>
      </c>
      <c r="CI15">
        <v>5</v>
      </c>
      <c r="CJ15" s="11">
        <v>660</v>
      </c>
      <c r="CK15" s="14">
        <v>0.48484848484848486</v>
      </c>
      <c r="CL15" s="14">
        <v>0.56874999999999998</v>
      </c>
      <c r="CM15" s="14">
        <v>7.4999999999999997E-2</v>
      </c>
      <c r="CN15" s="14">
        <v>0.27500000000000002</v>
      </c>
      <c r="CO15" s="14">
        <v>3.7499999999999999E-2</v>
      </c>
      <c r="CP15" s="14">
        <v>1.5625E-2</v>
      </c>
      <c r="CQ15" s="30">
        <v>5</v>
      </c>
      <c r="CR15" s="15">
        <v>204</v>
      </c>
      <c r="CS15">
        <v>49</v>
      </c>
      <c r="CT15">
        <v>94</v>
      </c>
      <c r="CV15">
        <v>1</v>
      </c>
      <c r="CW15" s="14">
        <v>0.528023598820059</v>
      </c>
      <c r="CX15" s="14">
        <v>0.56983240223463683</v>
      </c>
      <c r="CY15" s="14">
        <v>0.13687150837988826</v>
      </c>
      <c r="CZ15" s="14">
        <v>0.26256983240223464</v>
      </c>
      <c r="DA15" s="14">
        <v>0</v>
      </c>
      <c r="DB15" s="14">
        <v>2.7932960893854749E-3</v>
      </c>
      <c r="DC15" s="30">
        <v>6</v>
      </c>
      <c r="DD15" s="14" t="s">
        <v>476</v>
      </c>
      <c r="DE15" s="17" t="s">
        <v>437</v>
      </c>
      <c r="DF15" s="17" t="s">
        <v>438</v>
      </c>
      <c r="DG15" s="17" t="s">
        <v>455</v>
      </c>
      <c r="DH15" s="21">
        <v>246.99</v>
      </c>
      <c r="DI15" s="16">
        <v>660</v>
      </c>
      <c r="DJ15" s="16">
        <v>0</v>
      </c>
      <c r="DK15" s="16">
        <v>320</v>
      </c>
      <c r="DL15" s="23">
        <v>0.48484848484848486</v>
      </c>
      <c r="DM15" s="16">
        <v>1</v>
      </c>
      <c r="DN15">
        <v>5</v>
      </c>
      <c r="DO15" s="25"/>
      <c r="DP15" s="25"/>
      <c r="DQ15" s="25"/>
      <c r="DR15" s="26"/>
      <c r="DS15" s="26"/>
    </row>
    <row r="16" spans="1:129" ht="14.25" customHeight="1">
      <c r="A16" s="2">
        <v>4865</v>
      </c>
      <c r="B16" s="3" t="s">
        <v>42</v>
      </c>
      <c r="C16" s="3" t="s">
        <v>44</v>
      </c>
      <c r="D16" s="4">
        <v>14</v>
      </c>
      <c r="E16" s="3" t="s">
        <v>79</v>
      </c>
      <c r="F16" s="3" t="s">
        <v>80</v>
      </c>
      <c r="G16" s="4" t="s">
        <v>81</v>
      </c>
      <c r="H16" s="4" t="b">
        <v>1</v>
      </c>
      <c r="I16" s="4" t="b">
        <v>1</v>
      </c>
      <c r="J16" s="5" t="s">
        <v>81</v>
      </c>
      <c r="K16" s="5" t="s">
        <v>44</v>
      </c>
      <c r="L16" s="5" t="s">
        <v>79</v>
      </c>
      <c r="M16" s="5" t="s">
        <v>80</v>
      </c>
      <c r="N16" s="2" t="s">
        <v>13</v>
      </c>
      <c r="O16" s="2" t="s">
        <v>399</v>
      </c>
      <c r="P16" s="2">
        <v>70840</v>
      </c>
      <c r="Q16" s="2" t="s">
        <v>400</v>
      </c>
      <c r="R16" s="2">
        <v>616</v>
      </c>
      <c r="S16" s="2">
        <v>312</v>
      </c>
      <c r="T16" s="2">
        <v>312</v>
      </c>
      <c r="U16" s="2">
        <v>6</v>
      </c>
      <c r="V16" s="2">
        <v>306</v>
      </c>
      <c r="W16" s="2">
        <v>129</v>
      </c>
      <c r="X16" s="2">
        <v>63</v>
      </c>
      <c r="Y16" s="2">
        <v>0</v>
      </c>
      <c r="Z16" s="2">
        <v>3</v>
      </c>
      <c r="AA16" s="2">
        <v>55</v>
      </c>
      <c r="AB16" s="2">
        <v>13</v>
      </c>
      <c r="AC16" s="2">
        <v>10</v>
      </c>
      <c r="AD16" s="2">
        <v>0</v>
      </c>
      <c r="AE16" s="2">
        <v>3</v>
      </c>
      <c r="AF16" s="2">
        <v>5</v>
      </c>
      <c r="AG16" s="2">
        <v>14</v>
      </c>
      <c r="AH16" s="2">
        <v>1</v>
      </c>
      <c r="AI16" s="2">
        <v>0</v>
      </c>
      <c r="AJ16" s="2">
        <v>7</v>
      </c>
      <c r="AK16" s="2">
        <v>0</v>
      </c>
      <c r="AL16" s="2">
        <v>0</v>
      </c>
      <c r="AM16" s="2">
        <v>1</v>
      </c>
      <c r="AN16" s="2">
        <v>2</v>
      </c>
      <c r="AO16" s="2">
        <v>0</v>
      </c>
      <c r="AP16" s="2">
        <v>616</v>
      </c>
      <c r="AQ16" s="2">
        <v>312</v>
      </c>
      <c r="AR16" s="2">
        <v>312</v>
      </c>
      <c r="AS16" s="2">
        <v>4</v>
      </c>
      <c r="AT16" s="2">
        <v>308</v>
      </c>
      <c r="AU16" s="2">
        <v>2</v>
      </c>
      <c r="AV16" s="2">
        <v>1</v>
      </c>
      <c r="AW16" s="2">
        <v>7</v>
      </c>
      <c r="AX16" s="2">
        <v>53</v>
      </c>
      <c r="AY16" s="2">
        <v>10</v>
      </c>
      <c r="AZ16" s="2">
        <v>196</v>
      </c>
      <c r="BA16" s="2">
        <v>23</v>
      </c>
      <c r="BB16" s="2">
        <v>16</v>
      </c>
      <c r="BC16" s="11" t="s">
        <v>13</v>
      </c>
      <c r="BD16" s="11" t="s">
        <v>424</v>
      </c>
      <c r="BE16" s="11">
        <v>70840</v>
      </c>
      <c r="BF16" s="11" t="s">
        <v>400</v>
      </c>
      <c r="BG16" s="11">
        <v>14</v>
      </c>
      <c r="BH16" s="11">
        <v>617</v>
      </c>
      <c r="BI16" s="11">
        <v>310</v>
      </c>
      <c r="BJ16" s="11">
        <v>310</v>
      </c>
      <c r="BK16" s="11">
        <v>4</v>
      </c>
      <c r="BL16" s="11">
        <v>306</v>
      </c>
      <c r="BM16" s="11">
        <v>155</v>
      </c>
      <c r="BN16" s="11">
        <v>35</v>
      </c>
      <c r="BO16" s="11">
        <v>2</v>
      </c>
      <c r="BP16" s="11">
        <v>1</v>
      </c>
      <c r="BQ16" s="11">
        <v>9</v>
      </c>
      <c r="BR16" s="11">
        <v>0</v>
      </c>
      <c r="BS16" s="11">
        <v>84</v>
      </c>
      <c r="BT16" s="11">
        <v>1</v>
      </c>
      <c r="BU16" s="11">
        <v>0</v>
      </c>
      <c r="BV16" s="11">
        <v>2</v>
      </c>
      <c r="BW16" s="11">
        <v>0</v>
      </c>
      <c r="BX16" s="11">
        <v>2</v>
      </c>
      <c r="BY16" s="11">
        <v>0</v>
      </c>
      <c r="BZ16" s="11">
        <v>14</v>
      </c>
      <c r="CA16" s="11">
        <v>0</v>
      </c>
      <c r="CB16" s="11">
        <v>0</v>
      </c>
      <c r="CC16" s="11">
        <v>1</v>
      </c>
      <c r="CD16" s="11">
        <v>0</v>
      </c>
      <c r="CE16">
        <f t="shared" si="0"/>
        <v>192</v>
      </c>
      <c r="CF16">
        <f t="shared" si="1"/>
        <v>10</v>
      </c>
      <c r="CG16">
        <f t="shared" si="2"/>
        <v>86</v>
      </c>
      <c r="CH16">
        <f t="shared" si="3"/>
        <v>14</v>
      </c>
      <c r="CI16">
        <v>3</v>
      </c>
      <c r="CJ16" s="11">
        <v>617</v>
      </c>
      <c r="CK16" s="14">
        <v>0.50243111831442466</v>
      </c>
      <c r="CL16" s="14">
        <v>0.61935483870967745</v>
      </c>
      <c r="CM16" s="14">
        <v>3.2258064516129031E-2</v>
      </c>
      <c r="CN16" s="14">
        <v>0.28064516129032258</v>
      </c>
      <c r="CO16" s="14">
        <v>4.5161290322580643E-2</v>
      </c>
      <c r="CP16" s="14">
        <v>9.6774193548387101E-3</v>
      </c>
      <c r="CQ16" s="30">
        <v>6</v>
      </c>
      <c r="CR16" s="15">
        <v>195</v>
      </c>
      <c r="CS16">
        <v>42</v>
      </c>
      <c r="CT16">
        <v>67</v>
      </c>
      <c r="CV16">
        <v>2</v>
      </c>
      <c r="CW16" s="14">
        <v>0.50649350649350644</v>
      </c>
      <c r="CX16" s="14">
        <v>0.625</v>
      </c>
      <c r="CY16" s="14">
        <v>0.13461538461538461</v>
      </c>
      <c r="CZ16" s="14">
        <v>0.21474358974358973</v>
      </c>
      <c r="DA16" s="14">
        <v>0</v>
      </c>
      <c r="DB16" s="14">
        <v>6.41025641025641E-3</v>
      </c>
      <c r="DC16" s="30">
        <v>6</v>
      </c>
      <c r="DD16" s="14" t="s">
        <v>482</v>
      </c>
      <c r="DE16" s="17" t="s">
        <v>438</v>
      </c>
      <c r="DF16" s="17" t="s">
        <v>438</v>
      </c>
      <c r="DG16" s="17" t="s">
        <v>451</v>
      </c>
      <c r="DH16" s="21">
        <v>229.51</v>
      </c>
      <c r="DI16" s="16">
        <v>617</v>
      </c>
      <c r="DJ16" s="16">
        <v>0</v>
      </c>
      <c r="DK16" s="16">
        <v>310</v>
      </c>
      <c r="DL16" s="23">
        <v>0.50243111831442466</v>
      </c>
      <c r="DM16" s="16">
        <v>1</v>
      </c>
      <c r="DN16">
        <v>6</v>
      </c>
      <c r="DO16" s="25"/>
      <c r="DP16" s="25"/>
      <c r="DQ16" s="25"/>
      <c r="DR16" s="26"/>
      <c r="DS16" s="26"/>
    </row>
    <row r="17" spans="1:123" ht="14.25" customHeight="1">
      <c r="A17" s="2">
        <v>4866</v>
      </c>
      <c r="B17" s="3" t="s">
        <v>42</v>
      </c>
      <c r="C17" s="3" t="s">
        <v>44</v>
      </c>
      <c r="D17" s="4">
        <v>15</v>
      </c>
      <c r="E17" s="3" t="s">
        <v>82</v>
      </c>
      <c r="F17" s="3" t="s">
        <v>83</v>
      </c>
      <c r="G17" s="4" t="s">
        <v>84</v>
      </c>
      <c r="H17" s="4" t="b">
        <v>1</v>
      </c>
      <c r="I17" s="4" t="b">
        <v>1</v>
      </c>
      <c r="J17" s="5" t="s">
        <v>84</v>
      </c>
      <c r="K17" s="5" t="s">
        <v>44</v>
      </c>
      <c r="L17" s="5" t="s">
        <v>82</v>
      </c>
      <c r="M17" s="5" t="s">
        <v>83</v>
      </c>
      <c r="N17" s="2" t="s">
        <v>13</v>
      </c>
      <c r="O17" s="2" t="s">
        <v>399</v>
      </c>
      <c r="P17" s="2">
        <v>70840</v>
      </c>
      <c r="Q17" s="2" t="s">
        <v>400</v>
      </c>
      <c r="R17" s="2">
        <v>647</v>
      </c>
      <c r="S17" s="2">
        <v>383</v>
      </c>
      <c r="T17" s="2">
        <v>383</v>
      </c>
      <c r="U17" s="2">
        <v>12</v>
      </c>
      <c r="V17" s="2">
        <v>371</v>
      </c>
      <c r="W17" s="2">
        <v>148</v>
      </c>
      <c r="X17" s="2">
        <v>43</v>
      </c>
      <c r="Y17" s="2">
        <v>0</v>
      </c>
      <c r="Z17" s="2">
        <v>5</v>
      </c>
      <c r="AA17" s="2">
        <v>92</v>
      </c>
      <c r="AB17" s="2">
        <v>19</v>
      </c>
      <c r="AC17" s="2">
        <v>13</v>
      </c>
      <c r="AD17" s="2">
        <v>1</v>
      </c>
      <c r="AE17" s="2">
        <v>4</v>
      </c>
      <c r="AF17" s="2">
        <v>15</v>
      </c>
      <c r="AG17" s="2">
        <v>18</v>
      </c>
      <c r="AH17" s="2">
        <v>0</v>
      </c>
      <c r="AI17" s="2">
        <v>0</v>
      </c>
      <c r="AJ17" s="2">
        <v>3</v>
      </c>
      <c r="AK17" s="2">
        <v>0</v>
      </c>
      <c r="AL17" s="2">
        <v>1</v>
      </c>
      <c r="AM17" s="2">
        <v>8</v>
      </c>
      <c r="AN17" s="2">
        <v>1</v>
      </c>
      <c r="AO17" s="2">
        <v>0</v>
      </c>
      <c r="AP17" s="2">
        <v>647</v>
      </c>
      <c r="AQ17" s="2">
        <v>383</v>
      </c>
      <c r="AR17" s="2">
        <v>383</v>
      </c>
      <c r="AS17" s="2">
        <v>9</v>
      </c>
      <c r="AT17" s="2">
        <v>374</v>
      </c>
      <c r="AU17" s="2">
        <v>2</v>
      </c>
      <c r="AV17" s="2">
        <v>7</v>
      </c>
      <c r="AW17" s="2">
        <v>9</v>
      </c>
      <c r="AX17" s="2">
        <v>108</v>
      </c>
      <c r="AY17" s="2">
        <v>15</v>
      </c>
      <c r="AZ17" s="2">
        <v>197</v>
      </c>
      <c r="BA17" s="2">
        <v>18</v>
      </c>
      <c r="BB17" s="2">
        <v>18</v>
      </c>
      <c r="BC17" s="11" t="s">
        <v>13</v>
      </c>
      <c r="BD17" s="11" t="s">
        <v>424</v>
      </c>
      <c r="BE17" s="11">
        <v>70840</v>
      </c>
      <c r="BF17" s="11" t="s">
        <v>400</v>
      </c>
      <c r="BG17" s="11">
        <v>15</v>
      </c>
      <c r="BH17" s="11">
        <v>624</v>
      </c>
      <c r="BI17" s="11">
        <v>380</v>
      </c>
      <c r="BJ17" s="11">
        <v>380</v>
      </c>
      <c r="BK17" s="11">
        <v>10</v>
      </c>
      <c r="BL17" s="11">
        <v>370</v>
      </c>
      <c r="BM17" s="11">
        <v>158</v>
      </c>
      <c r="BN17" s="11">
        <v>29</v>
      </c>
      <c r="BO17" s="11">
        <v>0</v>
      </c>
      <c r="BP17" s="11">
        <v>12</v>
      </c>
      <c r="BQ17" s="11">
        <v>16</v>
      </c>
      <c r="BR17" s="11">
        <v>0</v>
      </c>
      <c r="BS17" s="11">
        <v>130</v>
      </c>
      <c r="BT17" s="11">
        <v>1</v>
      </c>
      <c r="BU17" s="11">
        <v>0</v>
      </c>
      <c r="BV17" s="11">
        <v>1</v>
      </c>
      <c r="BW17" s="11">
        <v>3</v>
      </c>
      <c r="BX17" s="11">
        <v>6</v>
      </c>
      <c r="BY17" s="11">
        <v>0</v>
      </c>
      <c r="BZ17" s="11">
        <v>11</v>
      </c>
      <c r="CA17" s="11">
        <v>0</v>
      </c>
      <c r="CB17" s="11">
        <v>0</v>
      </c>
      <c r="CC17" s="11">
        <v>3</v>
      </c>
      <c r="CD17" s="11">
        <v>0</v>
      </c>
      <c r="CE17">
        <f t="shared" si="0"/>
        <v>187</v>
      </c>
      <c r="CF17">
        <f t="shared" si="1"/>
        <v>28</v>
      </c>
      <c r="CG17">
        <f t="shared" si="2"/>
        <v>139</v>
      </c>
      <c r="CH17">
        <f t="shared" si="3"/>
        <v>11</v>
      </c>
      <c r="CI17">
        <v>2</v>
      </c>
      <c r="CJ17" s="11">
        <v>624</v>
      </c>
      <c r="CK17" s="14">
        <v>0.60897435897435892</v>
      </c>
      <c r="CL17" s="14">
        <v>0.49210526315789471</v>
      </c>
      <c r="CM17" s="14">
        <v>8.1578947368421056E-2</v>
      </c>
      <c r="CN17" s="14">
        <v>0.36578947368421055</v>
      </c>
      <c r="CO17" s="14">
        <v>2.8947368421052631E-2</v>
      </c>
      <c r="CP17" s="14">
        <v>5.263157894736842E-3</v>
      </c>
      <c r="CQ17" s="30">
        <v>1</v>
      </c>
      <c r="CR17" s="15">
        <v>196</v>
      </c>
      <c r="CS17">
        <v>65</v>
      </c>
      <c r="CT17">
        <v>107</v>
      </c>
      <c r="CV17">
        <v>3</v>
      </c>
      <c r="CW17" s="14">
        <v>0.59196290571870169</v>
      </c>
      <c r="CX17" s="14">
        <v>0.51174934725848564</v>
      </c>
      <c r="CY17" s="14">
        <v>0.16971279373368145</v>
      </c>
      <c r="CZ17" s="14">
        <v>0.27937336814621411</v>
      </c>
      <c r="DA17" s="14">
        <v>0</v>
      </c>
      <c r="DB17" s="14">
        <v>7.832898172323759E-3</v>
      </c>
      <c r="DC17" s="30">
        <v>2</v>
      </c>
      <c r="DD17" s="14" t="s">
        <v>481</v>
      </c>
      <c r="DE17" s="17" t="s">
        <v>433</v>
      </c>
      <c r="DF17" s="17" t="s">
        <v>434</v>
      </c>
      <c r="DG17" s="17" t="s">
        <v>454</v>
      </c>
      <c r="DH17" s="21">
        <v>259.93</v>
      </c>
      <c r="DI17" s="16">
        <v>624</v>
      </c>
      <c r="DJ17" s="16">
        <v>0</v>
      </c>
      <c r="DK17" s="16">
        <v>380</v>
      </c>
      <c r="DL17" s="23">
        <v>0.60897435897435892</v>
      </c>
      <c r="DM17" s="16">
        <v>1</v>
      </c>
      <c r="DN17">
        <v>2</v>
      </c>
      <c r="DO17" s="25"/>
      <c r="DP17" s="25"/>
      <c r="DQ17" s="25"/>
      <c r="DR17" s="26"/>
      <c r="DS17" s="26"/>
    </row>
    <row r="18" spans="1:123" ht="14.25" customHeight="1">
      <c r="A18" s="2">
        <v>4867</v>
      </c>
      <c r="B18" s="3" t="s">
        <v>42</v>
      </c>
      <c r="C18" s="3" t="s">
        <v>44</v>
      </c>
      <c r="D18" s="4">
        <v>16</v>
      </c>
      <c r="E18" s="3" t="s">
        <v>85</v>
      </c>
      <c r="F18" s="3" t="s">
        <v>86</v>
      </c>
      <c r="G18" s="4" t="s">
        <v>87</v>
      </c>
      <c r="H18" s="4" t="b">
        <v>1</v>
      </c>
      <c r="I18" s="4" t="b">
        <v>1</v>
      </c>
      <c r="J18" s="5" t="s">
        <v>87</v>
      </c>
      <c r="K18" s="5" t="s">
        <v>44</v>
      </c>
      <c r="L18" s="5" t="s">
        <v>85</v>
      </c>
      <c r="M18" s="5" t="s">
        <v>86</v>
      </c>
      <c r="N18" s="2" t="s">
        <v>13</v>
      </c>
      <c r="O18" s="2" t="s">
        <v>399</v>
      </c>
      <c r="P18" s="2">
        <v>70840</v>
      </c>
      <c r="Q18" s="2" t="s">
        <v>400</v>
      </c>
      <c r="R18" s="2">
        <v>866</v>
      </c>
      <c r="S18" s="2">
        <v>489</v>
      </c>
      <c r="T18" s="2">
        <v>489</v>
      </c>
      <c r="U18" s="2">
        <v>17</v>
      </c>
      <c r="V18" s="2">
        <v>472</v>
      </c>
      <c r="W18" s="2">
        <v>266</v>
      </c>
      <c r="X18" s="2">
        <v>48</v>
      </c>
      <c r="Y18" s="2">
        <v>0</v>
      </c>
      <c r="Z18" s="2">
        <v>10</v>
      </c>
      <c r="AA18" s="2">
        <v>48</v>
      </c>
      <c r="AB18" s="2">
        <v>28</v>
      </c>
      <c r="AC18" s="2">
        <v>18</v>
      </c>
      <c r="AD18" s="2">
        <v>0</v>
      </c>
      <c r="AE18" s="2">
        <v>12</v>
      </c>
      <c r="AF18" s="2">
        <v>5</v>
      </c>
      <c r="AG18" s="2">
        <v>26</v>
      </c>
      <c r="AH18" s="2">
        <v>0</v>
      </c>
      <c r="AI18" s="2">
        <v>0</v>
      </c>
      <c r="AJ18" s="2">
        <v>3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866</v>
      </c>
      <c r="AQ18" s="2">
        <v>488</v>
      </c>
      <c r="AR18" s="2">
        <v>488</v>
      </c>
      <c r="AS18" s="2">
        <v>11</v>
      </c>
      <c r="AT18" s="2">
        <v>477</v>
      </c>
      <c r="AU18" s="2">
        <v>17</v>
      </c>
      <c r="AV18" s="2">
        <v>8</v>
      </c>
      <c r="AW18" s="2">
        <v>0</v>
      </c>
      <c r="AX18" s="2">
        <v>55</v>
      </c>
      <c r="AY18" s="2">
        <v>15</v>
      </c>
      <c r="AZ18" s="2">
        <v>331</v>
      </c>
      <c r="BA18" s="2">
        <v>18</v>
      </c>
      <c r="BB18" s="2">
        <v>33</v>
      </c>
      <c r="BC18" s="11" t="s">
        <v>13</v>
      </c>
      <c r="BD18" s="11" t="s">
        <v>424</v>
      </c>
      <c r="BE18" s="11">
        <v>70840</v>
      </c>
      <c r="BF18" s="11" t="s">
        <v>400</v>
      </c>
      <c r="BG18" s="11">
        <v>16</v>
      </c>
      <c r="BH18" s="11">
        <v>854</v>
      </c>
      <c r="BI18" s="11">
        <v>504</v>
      </c>
      <c r="BJ18" s="11">
        <v>504</v>
      </c>
      <c r="BK18" s="11">
        <v>12</v>
      </c>
      <c r="BL18" s="11">
        <v>492</v>
      </c>
      <c r="BM18" s="11">
        <v>306</v>
      </c>
      <c r="BN18" s="11">
        <v>27</v>
      </c>
      <c r="BO18" s="11">
        <v>5</v>
      </c>
      <c r="BP18" s="11">
        <v>8</v>
      </c>
      <c r="BQ18" s="11">
        <v>22</v>
      </c>
      <c r="BR18" s="11">
        <v>1</v>
      </c>
      <c r="BS18" s="11">
        <v>98</v>
      </c>
      <c r="BT18" s="11">
        <v>1</v>
      </c>
      <c r="BU18" s="11">
        <v>0</v>
      </c>
      <c r="BV18" s="11">
        <v>0</v>
      </c>
      <c r="BW18" s="11">
        <v>0</v>
      </c>
      <c r="BX18" s="11">
        <v>6</v>
      </c>
      <c r="BY18" s="11">
        <v>1</v>
      </c>
      <c r="BZ18" s="11">
        <v>13</v>
      </c>
      <c r="CA18" s="11">
        <v>0</v>
      </c>
      <c r="CB18" s="11">
        <v>1</v>
      </c>
      <c r="CC18" s="11">
        <v>3</v>
      </c>
      <c r="CD18" s="11">
        <v>0</v>
      </c>
      <c r="CE18">
        <f t="shared" si="0"/>
        <v>338</v>
      </c>
      <c r="CF18">
        <f t="shared" si="1"/>
        <v>30</v>
      </c>
      <c r="CG18">
        <f t="shared" si="2"/>
        <v>104</v>
      </c>
      <c r="CH18">
        <f t="shared" si="3"/>
        <v>13</v>
      </c>
      <c r="CI18">
        <v>4</v>
      </c>
      <c r="CJ18" s="11">
        <v>854</v>
      </c>
      <c r="CK18" s="14">
        <v>0.5901639344262295</v>
      </c>
      <c r="CL18" s="14">
        <v>0.67063492063492058</v>
      </c>
      <c r="CM18" s="14">
        <v>5.9523809523809521E-2</v>
      </c>
      <c r="CN18" s="14">
        <v>0.2123015873015873</v>
      </c>
      <c r="CO18" s="14">
        <v>2.5793650793650792E-2</v>
      </c>
      <c r="CP18" s="14">
        <v>7.9365079365079361E-3</v>
      </c>
      <c r="CQ18" s="30">
        <v>8</v>
      </c>
      <c r="CR18" s="15">
        <v>324</v>
      </c>
      <c r="CS18">
        <v>77</v>
      </c>
      <c r="CT18">
        <v>71</v>
      </c>
      <c r="CV18">
        <v>0</v>
      </c>
      <c r="CW18" s="14">
        <v>0.5646651270207852</v>
      </c>
      <c r="CX18" s="14">
        <v>0.66257668711656437</v>
      </c>
      <c r="CY18" s="14">
        <v>0.15746421267893659</v>
      </c>
      <c r="CZ18" s="14">
        <v>0.14519427402862986</v>
      </c>
      <c r="DA18" s="14">
        <v>0</v>
      </c>
      <c r="DB18" s="14">
        <v>0</v>
      </c>
      <c r="DC18" s="30">
        <v>8</v>
      </c>
      <c r="DD18" s="14" t="s">
        <v>488</v>
      </c>
      <c r="DE18" s="17" t="s">
        <v>439</v>
      </c>
      <c r="DF18" s="17" t="s">
        <v>439</v>
      </c>
      <c r="DG18" s="17" t="s">
        <v>442</v>
      </c>
      <c r="DH18" s="21">
        <v>279.39999999999998</v>
      </c>
      <c r="DI18" s="22">
        <v>854</v>
      </c>
      <c r="DJ18" s="16">
        <v>1</v>
      </c>
      <c r="DK18" s="16">
        <v>504</v>
      </c>
      <c r="DL18" s="23">
        <v>0.5901639344262295</v>
      </c>
      <c r="DM18" s="16">
        <v>0</v>
      </c>
      <c r="DN18">
        <v>0</v>
      </c>
      <c r="DO18" s="25"/>
      <c r="DP18" s="25"/>
      <c r="DQ18" s="25"/>
      <c r="DR18" s="26"/>
      <c r="DS18" s="26"/>
    </row>
    <row r="19" spans="1:123" ht="14.25" customHeight="1">
      <c r="A19" s="2">
        <v>4868</v>
      </c>
      <c r="B19" s="3" t="s">
        <v>42</v>
      </c>
      <c r="C19" s="3" t="s">
        <v>44</v>
      </c>
      <c r="D19" s="4">
        <v>17</v>
      </c>
      <c r="E19" s="3" t="s">
        <v>88</v>
      </c>
      <c r="F19" s="3" t="s">
        <v>89</v>
      </c>
      <c r="G19" s="4" t="s">
        <v>90</v>
      </c>
      <c r="H19" s="4" t="b">
        <v>1</v>
      </c>
      <c r="I19" s="4" t="b">
        <v>1</v>
      </c>
      <c r="J19" s="5" t="s">
        <v>90</v>
      </c>
      <c r="K19" s="5" t="s">
        <v>44</v>
      </c>
      <c r="L19" s="5" t="s">
        <v>88</v>
      </c>
      <c r="M19" s="5" t="s">
        <v>89</v>
      </c>
      <c r="N19" s="2" t="s">
        <v>13</v>
      </c>
      <c r="O19" s="2" t="s">
        <v>399</v>
      </c>
      <c r="P19" s="2">
        <v>70840</v>
      </c>
      <c r="Q19" s="2" t="s">
        <v>400</v>
      </c>
      <c r="R19" s="2">
        <v>1029</v>
      </c>
      <c r="S19" s="2">
        <v>543</v>
      </c>
      <c r="T19" s="2">
        <v>543</v>
      </c>
      <c r="U19" s="2">
        <v>23</v>
      </c>
      <c r="V19" s="2">
        <v>520</v>
      </c>
      <c r="W19" s="2">
        <v>270</v>
      </c>
      <c r="X19" s="2">
        <v>77</v>
      </c>
      <c r="Y19" s="2">
        <v>1</v>
      </c>
      <c r="Z19" s="2">
        <v>12</v>
      </c>
      <c r="AA19" s="2">
        <v>65</v>
      </c>
      <c r="AB19" s="2">
        <v>17</v>
      </c>
      <c r="AC19" s="2">
        <v>16</v>
      </c>
      <c r="AD19" s="2">
        <v>0</v>
      </c>
      <c r="AE19" s="2">
        <v>13</v>
      </c>
      <c r="AF19" s="2">
        <v>10</v>
      </c>
      <c r="AG19" s="2">
        <v>23</v>
      </c>
      <c r="AH19" s="2">
        <v>1</v>
      </c>
      <c r="AI19" s="2">
        <v>0</v>
      </c>
      <c r="AJ19" s="2">
        <v>6</v>
      </c>
      <c r="AK19" s="2">
        <v>0</v>
      </c>
      <c r="AL19" s="2">
        <v>0</v>
      </c>
      <c r="AM19" s="2">
        <v>5</v>
      </c>
      <c r="AN19" s="2">
        <v>0</v>
      </c>
      <c r="AO19" s="2">
        <v>4</v>
      </c>
      <c r="AP19" s="2">
        <v>1029</v>
      </c>
      <c r="AQ19" s="2">
        <v>543</v>
      </c>
      <c r="AR19" s="2">
        <v>543</v>
      </c>
      <c r="AS19" s="2">
        <v>15</v>
      </c>
      <c r="AT19" s="2">
        <v>528</v>
      </c>
      <c r="AU19" s="2">
        <v>14</v>
      </c>
      <c r="AV19" s="2">
        <v>14</v>
      </c>
      <c r="AW19" s="2">
        <v>13</v>
      </c>
      <c r="AX19" s="2">
        <v>79</v>
      </c>
      <c r="AY19" s="2">
        <v>22</v>
      </c>
      <c r="AZ19" s="2">
        <v>343</v>
      </c>
      <c r="BA19" s="2">
        <v>20</v>
      </c>
      <c r="BB19" s="2">
        <v>23</v>
      </c>
      <c r="BC19" s="11" t="s">
        <v>13</v>
      </c>
      <c r="BD19" s="11" t="s">
        <v>424</v>
      </c>
      <c r="BE19" s="11">
        <v>70840</v>
      </c>
      <c r="BF19" s="11" t="s">
        <v>400</v>
      </c>
      <c r="BG19" s="11">
        <v>17</v>
      </c>
      <c r="BH19" s="11">
        <v>1017</v>
      </c>
      <c r="BI19" s="11">
        <v>578</v>
      </c>
      <c r="BJ19" s="11">
        <v>578</v>
      </c>
      <c r="BK19" s="11">
        <v>12</v>
      </c>
      <c r="BL19" s="11">
        <v>566</v>
      </c>
      <c r="BM19" s="11">
        <v>343</v>
      </c>
      <c r="BN19" s="11">
        <v>41</v>
      </c>
      <c r="BO19" s="11">
        <v>3</v>
      </c>
      <c r="BP19" s="11">
        <v>9</v>
      </c>
      <c r="BQ19" s="11">
        <v>13</v>
      </c>
      <c r="BR19" s="11">
        <v>1</v>
      </c>
      <c r="BS19" s="11">
        <v>115</v>
      </c>
      <c r="BT19" s="11">
        <v>2</v>
      </c>
      <c r="BU19" s="11">
        <v>0</v>
      </c>
      <c r="BV19" s="11">
        <v>1</v>
      </c>
      <c r="BW19" s="11">
        <v>2</v>
      </c>
      <c r="BX19" s="11">
        <v>7</v>
      </c>
      <c r="BY19" s="11">
        <v>0</v>
      </c>
      <c r="BZ19" s="11">
        <v>27</v>
      </c>
      <c r="CA19" s="11">
        <v>0</v>
      </c>
      <c r="CB19" s="11">
        <v>0</v>
      </c>
      <c r="CC19" s="11">
        <v>2</v>
      </c>
      <c r="CD19" s="11">
        <v>0</v>
      </c>
      <c r="CE19">
        <f t="shared" si="0"/>
        <v>387</v>
      </c>
      <c r="CF19">
        <f t="shared" si="1"/>
        <v>22</v>
      </c>
      <c r="CG19">
        <f t="shared" si="2"/>
        <v>124</v>
      </c>
      <c r="CH19">
        <f t="shared" si="3"/>
        <v>27</v>
      </c>
      <c r="CI19">
        <v>4</v>
      </c>
      <c r="CJ19" s="11">
        <v>1017</v>
      </c>
      <c r="CK19" s="14">
        <v>0.5683382497541789</v>
      </c>
      <c r="CL19" s="14">
        <v>0.66955017301038067</v>
      </c>
      <c r="CM19" s="14">
        <v>4.1522491349480967E-2</v>
      </c>
      <c r="CN19" s="14">
        <v>0.21453287197231835</v>
      </c>
      <c r="CO19" s="14">
        <v>4.6712802768166091E-2</v>
      </c>
      <c r="CP19" s="14">
        <v>6.920415224913495E-3</v>
      </c>
      <c r="CQ19" s="30">
        <v>8</v>
      </c>
      <c r="CR19" s="15">
        <v>359</v>
      </c>
      <c r="CS19">
        <v>66</v>
      </c>
      <c r="CT19">
        <v>90</v>
      </c>
      <c r="CV19">
        <v>5</v>
      </c>
      <c r="CW19" s="14">
        <v>0.5276967930029155</v>
      </c>
      <c r="CX19" s="14">
        <v>0.66114180478821361</v>
      </c>
      <c r="CY19" s="14">
        <v>0.12154696132596685</v>
      </c>
      <c r="CZ19" s="14">
        <v>0.16574585635359115</v>
      </c>
      <c r="DA19" s="14">
        <v>0</v>
      </c>
      <c r="DB19" s="14">
        <v>9.2081031307550652E-3</v>
      </c>
      <c r="DC19" s="30">
        <v>6</v>
      </c>
      <c r="DD19" s="14" t="s">
        <v>489</v>
      </c>
      <c r="DE19" s="17" t="s">
        <v>439</v>
      </c>
      <c r="DF19" s="17" t="s">
        <v>438</v>
      </c>
      <c r="DG19" s="17" t="s">
        <v>444</v>
      </c>
      <c r="DH19" s="21">
        <v>339.54</v>
      </c>
      <c r="DI19" s="22">
        <v>1017</v>
      </c>
      <c r="DJ19" s="16">
        <v>1</v>
      </c>
      <c r="DK19" s="16">
        <v>578</v>
      </c>
      <c r="DL19" s="23">
        <v>0.5683382497541789</v>
      </c>
      <c r="DM19" s="16">
        <v>0</v>
      </c>
      <c r="DN19">
        <v>0</v>
      </c>
      <c r="DO19" s="25"/>
      <c r="DP19" s="25"/>
      <c r="DQ19" s="25"/>
      <c r="DR19" s="26"/>
      <c r="DS19" s="26"/>
    </row>
    <row r="20" spans="1:123" ht="14.25" customHeight="1">
      <c r="A20" s="2">
        <v>4869</v>
      </c>
      <c r="B20" s="3" t="s">
        <v>42</v>
      </c>
      <c r="C20" s="3" t="s">
        <v>44</v>
      </c>
      <c r="D20" s="4">
        <v>18</v>
      </c>
      <c r="E20" s="3" t="s">
        <v>31</v>
      </c>
      <c r="F20" s="3" t="s">
        <v>91</v>
      </c>
      <c r="G20" s="4" t="s">
        <v>92</v>
      </c>
      <c r="H20" s="4" t="b">
        <v>1</v>
      </c>
      <c r="I20" s="4" t="b">
        <v>1</v>
      </c>
      <c r="J20" s="5" t="s">
        <v>92</v>
      </c>
      <c r="K20" s="5" t="s">
        <v>44</v>
      </c>
      <c r="L20" s="5" t="s">
        <v>31</v>
      </c>
      <c r="M20" s="5" t="s">
        <v>91</v>
      </c>
      <c r="N20" s="2" t="s">
        <v>13</v>
      </c>
      <c r="O20" s="2" t="s">
        <v>399</v>
      </c>
      <c r="P20" s="2">
        <v>70840</v>
      </c>
      <c r="Q20" s="2" t="s">
        <v>400</v>
      </c>
      <c r="R20" s="2">
        <v>149</v>
      </c>
      <c r="S20" s="2">
        <v>95</v>
      </c>
      <c r="T20" s="2">
        <v>95</v>
      </c>
      <c r="U20" s="2">
        <v>4</v>
      </c>
      <c r="V20" s="2">
        <v>91</v>
      </c>
      <c r="W20" s="2">
        <v>56</v>
      </c>
      <c r="X20" s="2">
        <v>8</v>
      </c>
      <c r="Y20" s="2">
        <v>0</v>
      </c>
      <c r="Z20" s="2">
        <v>2</v>
      </c>
      <c r="AA20" s="2">
        <v>15</v>
      </c>
      <c r="AB20" s="2">
        <v>4</v>
      </c>
      <c r="AC20" s="2">
        <v>2</v>
      </c>
      <c r="AD20" s="2">
        <v>0</v>
      </c>
      <c r="AE20" s="2">
        <v>0</v>
      </c>
      <c r="AF20" s="2">
        <v>0</v>
      </c>
      <c r="AG20" s="2">
        <v>2</v>
      </c>
      <c r="AH20" s="2">
        <v>0</v>
      </c>
      <c r="AI20" s="2">
        <v>0</v>
      </c>
      <c r="AJ20" s="2">
        <v>1</v>
      </c>
      <c r="AK20" s="2">
        <v>0</v>
      </c>
      <c r="AL20" s="2">
        <v>0</v>
      </c>
      <c r="AM20" s="2">
        <v>0</v>
      </c>
      <c r="AN20" s="2">
        <v>1</v>
      </c>
      <c r="AO20" s="2">
        <v>0</v>
      </c>
      <c r="AP20" s="2">
        <v>149</v>
      </c>
      <c r="AQ20" s="2">
        <v>95</v>
      </c>
      <c r="AR20" s="2">
        <v>95</v>
      </c>
      <c r="AS20" s="2">
        <v>3</v>
      </c>
      <c r="AT20" s="2">
        <v>92</v>
      </c>
      <c r="AU20" s="2">
        <v>3</v>
      </c>
      <c r="AV20" s="2">
        <v>1</v>
      </c>
      <c r="AW20" s="2">
        <v>0</v>
      </c>
      <c r="AX20" s="2">
        <v>13</v>
      </c>
      <c r="AY20" s="2">
        <v>5</v>
      </c>
      <c r="AZ20" s="2">
        <v>62</v>
      </c>
      <c r="BA20" s="2">
        <v>3</v>
      </c>
      <c r="BB20" s="2">
        <v>5</v>
      </c>
      <c r="BC20" s="11" t="s">
        <v>13</v>
      </c>
      <c r="BD20" s="11" t="s">
        <v>424</v>
      </c>
      <c r="BE20" s="11">
        <v>70840</v>
      </c>
      <c r="BF20" s="11" t="s">
        <v>400</v>
      </c>
      <c r="BG20" s="11">
        <v>18</v>
      </c>
      <c r="BH20" s="11">
        <v>137</v>
      </c>
      <c r="BI20" s="11">
        <v>83</v>
      </c>
      <c r="BJ20" s="11">
        <v>83</v>
      </c>
      <c r="BK20" s="11">
        <v>5</v>
      </c>
      <c r="BL20" s="11">
        <v>78</v>
      </c>
      <c r="BM20" s="11">
        <v>50</v>
      </c>
      <c r="BN20" s="11">
        <v>5</v>
      </c>
      <c r="BO20" s="11">
        <v>1</v>
      </c>
      <c r="BP20" s="11">
        <v>2</v>
      </c>
      <c r="BQ20" s="11">
        <v>0</v>
      </c>
      <c r="BR20" s="11">
        <v>0</v>
      </c>
      <c r="BS20" s="11">
        <v>16</v>
      </c>
      <c r="BT20" s="11">
        <v>0</v>
      </c>
      <c r="BU20" s="11">
        <v>0</v>
      </c>
      <c r="BV20" s="11">
        <v>0</v>
      </c>
      <c r="BW20" s="11">
        <v>0</v>
      </c>
      <c r="BX20" s="11">
        <v>1</v>
      </c>
      <c r="BY20" s="11">
        <v>0</v>
      </c>
      <c r="BZ20" s="11">
        <v>0</v>
      </c>
      <c r="CA20" s="11">
        <v>0</v>
      </c>
      <c r="CB20" s="11">
        <v>1</v>
      </c>
      <c r="CC20" s="11">
        <v>2</v>
      </c>
      <c r="CD20" s="11">
        <v>0</v>
      </c>
      <c r="CE20">
        <f t="shared" si="0"/>
        <v>56</v>
      </c>
      <c r="CF20">
        <f t="shared" si="1"/>
        <v>2</v>
      </c>
      <c r="CG20">
        <f t="shared" si="2"/>
        <v>17</v>
      </c>
      <c r="CH20">
        <f t="shared" si="3"/>
        <v>0</v>
      </c>
      <c r="CI20">
        <v>1</v>
      </c>
      <c r="CJ20" s="11">
        <v>137</v>
      </c>
      <c r="CK20" s="14">
        <v>0.6058394160583942</v>
      </c>
      <c r="CL20" s="14">
        <v>0.67469879518072284</v>
      </c>
      <c r="CM20" s="14">
        <v>2.4096385542168676E-2</v>
      </c>
      <c r="CN20" s="14">
        <v>0.2289156626506024</v>
      </c>
      <c r="CO20" s="14">
        <v>0</v>
      </c>
      <c r="CP20" s="14">
        <v>1.2048192771084338E-2</v>
      </c>
      <c r="CQ20" s="30">
        <v>8</v>
      </c>
      <c r="CR20" s="15">
        <v>66</v>
      </c>
      <c r="CS20">
        <v>8</v>
      </c>
      <c r="CT20">
        <v>16</v>
      </c>
      <c r="CV20">
        <v>1</v>
      </c>
      <c r="CW20" s="14">
        <v>0.63758389261744963</v>
      </c>
      <c r="CX20" s="14">
        <v>0.69473684210526321</v>
      </c>
      <c r="CY20" s="14">
        <v>8.4210526315789472E-2</v>
      </c>
      <c r="CZ20" s="14">
        <v>0.16842105263157894</v>
      </c>
      <c r="DA20" s="14">
        <v>0</v>
      </c>
      <c r="DB20" s="14">
        <v>1.0526315789473684E-2</v>
      </c>
      <c r="DC20" s="30">
        <v>8</v>
      </c>
      <c r="DD20" s="14" t="s">
        <v>488</v>
      </c>
      <c r="DE20" s="17" t="s">
        <v>439</v>
      </c>
      <c r="DF20" s="17" t="s">
        <v>439</v>
      </c>
      <c r="DG20" s="17" t="s">
        <v>442</v>
      </c>
      <c r="DH20" s="21">
        <v>42.09</v>
      </c>
      <c r="DI20" s="16">
        <v>137</v>
      </c>
      <c r="DJ20" s="16">
        <v>0</v>
      </c>
      <c r="DK20" s="16">
        <v>83</v>
      </c>
      <c r="DL20" s="23">
        <v>0.6058394160583942</v>
      </c>
      <c r="DM20" s="16">
        <v>0</v>
      </c>
      <c r="DN20">
        <v>0</v>
      </c>
      <c r="DO20" s="25"/>
      <c r="DP20" s="25"/>
      <c r="DQ20" s="25"/>
      <c r="DR20" s="26"/>
      <c r="DS20" s="26"/>
    </row>
    <row r="21" spans="1:123" ht="14.25" customHeight="1">
      <c r="A21" s="2">
        <v>4870</v>
      </c>
      <c r="B21" s="3" t="s">
        <v>42</v>
      </c>
      <c r="C21" s="3" t="s">
        <v>44</v>
      </c>
      <c r="D21" s="4">
        <v>19</v>
      </c>
      <c r="E21" s="3" t="s">
        <v>93</v>
      </c>
      <c r="F21" s="3" t="s">
        <v>43</v>
      </c>
      <c r="G21" s="4" t="s">
        <v>94</v>
      </c>
      <c r="H21" s="4" t="b">
        <v>1</v>
      </c>
      <c r="I21" s="4" t="b">
        <v>1</v>
      </c>
      <c r="J21" s="5" t="s">
        <v>94</v>
      </c>
      <c r="K21" s="5" t="s">
        <v>44</v>
      </c>
      <c r="L21" s="5" t="s">
        <v>93</v>
      </c>
      <c r="M21" s="5" t="s">
        <v>43</v>
      </c>
      <c r="N21" s="2" t="s">
        <v>13</v>
      </c>
      <c r="O21" s="2" t="s">
        <v>399</v>
      </c>
      <c r="P21" s="2">
        <v>70840</v>
      </c>
      <c r="Q21" s="2" t="s">
        <v>400</v>
      </c>
      <c r="R21" s="2">
        <v>153</v>
      </c>
      <c r="S21" s="2">
        <v>86</v>
      </c>
      <c r="T21" s="2">
        <v>86</v>
      </c>
      <c r="U21" s="2">
        <v>4</v>
      </c>
      <c r="V21" s="2">
        <v>82</v>
      </c>
      <c r="W21" s="2">
        <v>50</v>
      </c>
      <c r="X21" s="2">
        <v>13</v>
      </c>
      <c r="Y21" s="2">
        <v>0</v>
      </c>
      <c r="Z21" s="2">
        <v>1</v>
      </c>
      <c r="AA21" s="2">
        <v>2</v>
      </c>
      <c r="AB21" s="2">
        <v>0</v>
      </c>
      <c r="AC21" s="2">
        <v>1</v>
      </c>
      <c r="AD21" s="2">
        <v>0</v>
      </c>
      <c r="AE21" s="2">
        <v>2</v>
      </c>
      <c r="AF21" s="2">
        <v>5</v>
      </c>
      <c r="AG21" s="2">
        <v>7</v>
      </c>
      <c r="AH21" s="2">
        <v>0</v>
      </c>
      <c r="AI21" s="2">
        <v>0</v>
      </c>
      <c r="AJ21" s="2">
        <v>1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153</v>
      </c>
      <c r="AQ21" s="2">
        <v>86</v>
      </c>
      <c r="AR21" s="2">
        <v>86</v>
      </c>
      <c r="AS21" s="2">
        <v>1</v>
      </c>
      <c r="AT21" s="2">
        <v>85</v>
      </c>
      <c r="AU21" s="2">
        <v>2</v>
      </c>
      <c r="AV21" s="2">
        <v>2</v>
      </c>
      <c r="AW21" s="2">
        <v>0</v>
      </c>
      <c r="AX21" s="2">
        <v>4</v>
      </c>
      <c r="AY21" s="2">
        <v>5</v>
      </c>
      <c r="AZ21" s="2">
        <v>66</v>
      </c>
      <c r="BA21" s="2">
        <v>0</v>
      </c>
      <c r="BB21" s="2">
        <v>6</v>
      </c>
      <c r="BC21" s="11" t="s">
        <v>13</v>
      </c>
      <c r="BD21" s="11" t="s">
        <v>424</v>
      </c>
      <c r="BE21" s="11">
        <v>70840</v>
      </c>
      <c r="BF21" s="11" t="s">
        <v>400</v>
      </c>
      <c r="BG21" s="11">
        <v>19</v>
      </c>
      <c r="BH21" s="11">
        <v>144</v>
      </c>
      <c r="BI21" s="11">
        <v>79</v>
      </c>
      <c r="BJ21" s="11">
        <v>79</v>
      </c>
      <c r="BK21" s="11">
        <v>1</v>
      </c>
      <c r="BL21" s="11">
        <v>78</v>
      </c>
      <c r="BM21" s="11">
        <v>58</v>
      </c>
      <c r="BN21" s="11">
        <v>3</v>
      </c>
      <c r="BO21" s="11">
        <v>1</v>
      </c>
      <c r="BP21" s="11">
        <v>0</v>
      </c>
      <c r="BQ21" s="11">
        <v>2</v>
      </c>
      <c r="BR21" s="11">
        <v>0</v>
      </c>
      <c r="BS21" s="11">
        <v>8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6</v>
      </c>
      <c r="CA21" s="11">
        <v>0</v>
      </c>
      <c r="CB21" s="11">
        <v>0</v>
      </c>
      <c r="CC21" s="11">
        <v>0</v>
      </c>
      <c r="CD21" s="11">
        <v>0</v>
      </c>
      <c r="CE21">
        <f t="shared" si="0"/>
        <v>62</v>
      </c>
      <c r="CF21">
        <f t="shared" si="1"/>
        <v>2</v>
      </c>
      <c r="CG21">
        <f t="shared" si="2"/>
        <v>8</v>
      </c>
      <c r="CH21">
        <f t="shared" si="3"/>
        <v>6</v>
      </c>
      <c r="CI21">
        <v>0</v>
      </c>
      <c r="CJ21" s="11">
        <v>144</v>
      </c>
      <c r="CK21" s="14">
        <v>0.54861111111111116</v>
      </c>
      <c r="CL21" s="14">
        <v>0.78481012658227844</v>
      </c>
      <c r="CM21" s="14">
        <v>2.5316455696202531E-2</v>
      </c>
      <c r="CN21" s="14">
        <v>0.10126582278481013</v>
      </c>
      <c r="CO21" s="14">
        <v>7.5949367088607597E-2</v>
      </c>
      <c r="CP21" s="14">
        <v>0</v>
      </c>
      <c r="CQ21" s="30">
        <v>8</v>
      </c>
      <c r="CR21" s="15">
        <v>64</v>
      </c>
      <c r="CS21">
        <v>13</v>
      </c>
      <c r="CT21">
        <v>5</v>
      </c>
      <c r="CV21">
        <v>0</v>
      </c>
      <c r="CW21" s="14">
        <v>0.56209150326797386</v>
      </c>
      <c r="CX21" s="14">
        <v>0.7441860465116279</v>
      </c>
      <c r="CY21" s="14">
        <v>0.15116279069767441</v>
      </c>
      <c r="CZ21" s="14">
        <v>5.8139534883720929E-2</v>
      </c>
      <c r="DA21" s="14">
        <v>0</v>
      </c>
      <c r="DB21" s="14">
        <v>0</v>
      </c>
      <c r="DC21" s="30">
        <v>8</v>
      </c>
      <c r="DD21" s="14" t="s">
        <v>488</v>
      </c>
      <c r="DE21" s="17" t="s">
        <v>439</v>
      </c>
      <c r="DF21" s="17" t="s">
        <v>439</v>
      </c>
      <c r="DG21" s="17" t="s">
        <v>442</v>
      </c>
      <c r="DH21" s="21">
        <v>41.17</v>
      </c>
      <c r="DI21" s="16">
        <v>144</v>
      </c>
      <c r="DJ21" s="16">
        <v>0</v>
      </c>
      <c r="DK21" s="16">
        <v>79</v>
      </c>
      <c r="DL21" s="23">
        <v>0.54861111111111116</v>
      </c>
      <c r="DM21" s="16">
        <v>0</v>
      </c>
      <c r="DN21">
        <v>0</v>
      </c>
      <c r="DO21" s="25"/>
      <c r="DP21" s="25"/>
      <c r="DQ21" s="25"/>
      <c r="DR21" s="26"/>
      <c r="DS21" s="26"/>
    </row>
    <row r="22" spans="1:123" ht="14.25" customHeight="1">
      <c r="A22" s="2">
        <v>4871</v>
      </c>
      <c r="B22" s="3" t="s">
        <v>42</v>
      </c>
      <c r="C22" s="3" t="s">
        <v>44</v>
      </c>
      <c r="D22" s="4">
        <v>20</v>
      </c>
      <c r="E22" s="3" t="s">
        <v>12</v>
      </c>
      <c r="F22" s="3" t="s">
        <v>41</v>
      </c>
      <c r="G22" s="4" t="s">
        <v>95</v>
      </c>
      <c r="H22" s="4" t="b">
        <v>1</v>
      </c>
      <c r="I22" s="4" t="b">
        <v>1</v>
      </c>
      <c r="J22" s="5" t="s">
        <v>95</v>
      </c>
      <c r="K22" s="5" t="s">
        <v>44</v>
      </c>
      <c r="L22" s="5" t="s">
        <v>12</v>
      </c>
      <c r="M22" s="5" t="s">
        <v>41</v>
      </c>
      <c r="N22" s="2" t="s">
        <v>13</v>
      </c>
      <c r="O22" s="2" t="s">
        <v>399</v>
      </c>
      <c r="P22" s="2">
        <v>70840</v>
      </c>
      <c r="Q22" s="2" t="s">
        <v>400</v>
      </c>
      <c r="R22" s="2">
        <v>469</v>
      </c>
      <c r="S22" s="2">
        <v>210</v>
      </c>
      <c r="T22" s="2">
        <v>210</v>
      </c>
      <c r="U22" s="2">
        <v>6</v>
      </c>
      <c r="V22" s="2">
        <v>204</v>
      </c>
      <c r="W22" s="2">
        <v>174</v>
      </c>
      <c r="X22" s="2">
        <v>17</v>
      </c>
      <c r="Y22" s="2">
        <v>0</v>
      </c>
      <c r="Z22" s="2">
        <v>0</v>
      </c>
      <c r="AA22" s="2">
        <v>3</v>
      </c>
      <c r="AB22" s="2">
        <v>2</v>
      </c>
      <c r="AC22" s="2">
        <v>0</v>
      </c>
      <c r="AD22" s="2">
        <v>1</v>
      </c>
      <c r="AE22" s="2">
        <v>1</v>
      </c>
      <c r="AF22" s="2">
        <v>1</v>
      </c>
      <c r="AG22" s="2">
        <v>1</v>
      </c>
      <c r="AH22" s="2">
        <v>0</v>
      </c>
      <c r="AI22" s="2">
        <v>0</v>
      </c>
      <c r="AJ22" s="2">
        <v>2</v>
      </c>
      <c r="AK22" s="2">
        <v>1</v>
      </c>
      <c r="AL22" s="2">
        <v>0</v>
      </c>
      <c r="AM22" s="2">
        <v>0</v>
      </c>
      <c r="AN22" s="2">
        <v>0</v>
      </c>
      <c r="AO22" s="2">
        <v>1</v>
      </c>
      <c r="AP22" s="2">
        <v>469</v>
      </c>
      <c r="AQ22" s="2">
        <v>150</v>
      </c>
      <c r="AR22" s="2">
        <v>150</v>
      </c>
      <c r="AS22" s="2">
        <v>7</v>
      </c>
      <c r="AT22" s="2">
        <v>143</v>
      </c>
      <c r="AU22" s="2">
        <v>1</v>
      </c>
      <c r="AV22" s="2">
        <v>4</v>
      </c>
      <c r="AW22" s="2">
        <v>2</v>
      </c>
      <c r="AX22" s="2">
        <v>12</v>
      </c>
      <c r="AY22" s="2">
        <v>3</v>
      </c>
      <c r="AZ22" s="2">
        <v>112</v>
      </c>
      <c r="BA22" s="2">
        <v>4</v>
      </c>
      <c r="BB22" s="2">
        <v>5</v>
      </c>
      <c r="BC22" s="11" t="s">
        <v>13</v>
      </c>
      <c r="BD22" s="11" t="s">
        <v>424</v>
      </c>
      <c r="BE22" s="11">
        <v>70840</v>
      </c>
      <c r="BF22" s="11" t="s">
        <v>400</v>
      </c>
      <c r="BG22" s="11">
        <v>20</v>
      </c>
      <c r="BH22" s="11">
        <v>480</v>
      </c>
      <c r="BI22" s="11">
        <v>156</v>
      </c>
      <c r="BJ22" s="11">
        <v>155</v>
      </c>
      <c r="BK22" s="11">
        <v>5</v>
      </c>
      <c r="BL22" s="11">
        <v>150</v>
      </c>
      <c r="BM22" s="11">
        <v>101</v>
      </c>
      <c r="BN22" s="11">
        <v>17</v>
      </c>
      <c r="BO22" s="11">
        <v>2</v>
      </c>
      <c r="BP22" s="11">
        <v>0</v>
      </c>
      <c r="BQ22" s="11">
        <v>3</v>
      </c>
      <c r="BR22" s="11">
        <v>0</v>
      </c>
      <c r="BS22" s="11">
        <v>16</v>
      </c>
      <c r="BT22" s="11">
        <v>0</v>
      </c>
      <c r="BU22" s="11">
        <v>0</v>
      </c>
      <c r="BV22" s="11">
        <v>0</v>
      </c>
      <c r="BW22" s="11">
        <v>2</v>
      </c>
      <c r="BX22" s="11">
        <v>2</v>
      </c>
      <c r="BY22" s="11">
        <v>0</v>
      </c>
      <c r="BZ22" s="11">
        <v>6</v>
      </c>
      <c r="CA22" s="11">
        <v>0</v>
      </c>
      <c r="CB22" s="11">
        <v>0</v>
      </c>
      <c r="CC22" s="11">
        <v>0</v>
      </c>
      <c r="CD22" s="11">
        <v>1</v>
      </c>
      <c r="CE22">
        <f t="shared" si="0"/>
        <v>120</v>
      </c>
      <c r="CF22">
        <f t="shared" si="1"/>
        <v>3</v>
      </c>
      <c r="CG22">
        <f t="shared" si="2"/>
        <v>20</v>
      </c>
      <c r="CH22">
        <f t="shared" si="3"/>
        <v>6</v>
      </c>
      <c r="CI22">
        <v>1</v>
      </c>
      <c r="CJ22" s="11">
        <v>480</v>
      </c>
      <c r="CK22" s="14">
        <v>0.32500000000000001</v>
      </c>
      <c r="CL22" s="14">
        <v>0.76923076923076927</v>
      </c>
      <c r="CM22" s="14">
        <v>3.2051282051282048E-2</v>
      </c>
      <c r="CN22" s="14">
        <v>0.11538461538461539</v>
      </c>
      <c r="CO22" s="14">
        <v>3.8461538461538464E-2</v>
      </c>
      <c r="CP22" s="14">
        <v>6.41025641025641E-3</v>
      </c>
      <c r="CQ22" s="30">
        <v>5</v>
      </c>
      <c r="CR22" s="15">
        <v>191</v>
      </c>
      <c r="CS22">
        <v>4</v>
      </c>
      <c r="CT22">
        <v>6</v>
      </c>
      <c r="CV22">
        <v>3</v>
      </c>
      <c r="CW22" s="14">
        <v>0.44776119402985076</v>
      </c>
      <c r="CX22" s="14">
        <v>0.90952380952380951</v>
      </c>
      <c r="CY22" s="14">
        <v>1.9047619047619049E-2</v>
      </c>
      <c r="CZ22" s="14">
        <v>2.8571428571428571E-2</v>
      </c>
      <c r="DA22" s="14">
        <v>0</v>
      </c>
      <c r="DB22" s="14">
        <v>1.4285714285714285E-2</v>
      </c>
      <c r="DC22" s="30">
        <v>5</v>
      </c>
      <c r="DD22" s="14" t="s">
        <v>474</v>
      </c>
      <c r="DE22" s="17" t="s">
        <v>437</v>
      </c>
      <c r="DF22" s="17" t="s">
        <v>437</v>
      </c>
      <c r="DG22" s="17" t="s">
        <v>453</v>
      </c>
      <c r="DH22" s="21">
        <v>160.79</v>
      </c>
      <c r="DI22" s="16">
        <v>480</v>
      </c>
      <c r="DJ22" s="16">
        <v>0</v>
      </c>
      <c r="DK22" s="16">
        <v>155</v>
      </c>
      <c r="DL22" s="23">
        <v>0.32291666666666669</v>
      </c>
      <c r="DM22" s="16">
        <v>1</v>
      </c>
      <c r="DN22">
        <v>5</v>
      </c>
      <c r="DO22" s="25"/>
      <c r="DP22" s="25"/>
      <c r="DQ22" s="25"/>
      <c r="DR22" s="26"/>
      <c r="DS22" s="26"/>
    </row>
    <row r="23" spans="1:123" ht="14.25" customHeight="1">
      <c r="A23" s="2">
        <v>4872</v>
      </c>
      <c r="B23" s="3" t="s">
        <v>42</v>
      </c>
      <c r="C23" s="3" t="s">
        <v>44</v>
      </c>
      <c r="D23" s="4">
        <v>21</v>
      </c>
      <c r="E23" s="3" t="s">
        <v>96</v>
      </c>
      <c r="F23" s="3" t="s">
        <v>41</v>
      </c>
      <c r="G23" s="4" t="s">
        <v>97</v>
      </c>
      <c r="H23" s="4" t="b">
        <v>1</v>
      </c>
      <c r="I23" s="4" t="b">
        <v>1</v>
      </c>
      <c r="J23" s="5" t="s">
        <v>97</v>
      </c>
      <c r="K23" s="5" t="s">
        <v>44</v>
      </c>
      <c r="L23" s="5" t="s">
        <v>96</v>
      </c>
      <c r="M23" s="5" t="s">
        <v>41</v>
      </c>
      <c r="N23" s="2" t="s">
        <v>13</v>
      </c>
      <c r="O23" s="2" t="s">
        <v>399</v>
      </c>
      <c r="P23" s="2">
        <v>70840</v>
      </c>
      <c r="Q23" s="2" t="s">
        <v>400</v>
      </c>
      <c r="R23" s="2">
        <v>466</v>
      </c>
      <c r="S23" s="2">
        <v>165</v>
      </c>
      <c r="T23" s="2">
        <v>165</v>
      </c>
      <c r="U23" s="2">
        <v>9</v>
      </c>
      <c r="V23" s="2">
        <v>156</v>
      </c>
      <c r="W23" s="2">
        <v>98</v>
      </c>
      <c r="X23" s="2">
        <v>35</v>
      </c>
      <c r="Y23" s="2">
        <v>0</v>
      </c>
      <c r="Z23" s="2">
        <v>0</v>
      </c>
      <c r="AA23" s="2">
        <v>10</v>
      </c>
      <c r="AB23" s="2">
        <v>5</v>
      </c>
      <c r="AC23" s="2">
        <v>0</v>
      </c>
      <c r="AD23" s="2">
        <v>1</v>
      </c>
      <c r="AE23" s="2">
        <v>2</v>
      </c>
      <c r="AF23" s="2">
        <v>4</v>
      </c>
      <c r="AG23" s="2">
        <v>1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466</v>
      </c>
      <c r="AQ23" s="2">
        <v>165</v>
      </c>
      <c r="AR23" s="2">
        <v>165</v>
      </c>
      <c r="AS23" s="2">
        <v>3</v>
      </c>
      <c r="AT23" s="2">
        <v>162</v>
      </c>
      <c r="AU23" s="2">
        <v>1</v>
      </c>
      <c r="AV23" s="2">
        <v>0</v>
      </c>
      <c r="AW23" s="2">
        <v>2</v>
      </c>
      <c r="AX23" s="2">
        <v>13</v>
      </c>
      <c r="AY23" s="2">
        <v>0</v>
      </c>
      <c r="AZ23" s="2">
        <v>141</v>
      </c>
      <c r="BA23" s="2">
        <v>3</v>
      </c>
      <c r="BB23" s="2">
        <v>2</v>
      </c>
      <c r="BC23" s="11" t="s">
        <v>13</v>
      </c>
      <c r="BD23" s="11" t="s">
        <v>424</v>
      </c>
      <c r="BE23" s="11">
        <v>70840</v>
      </c>
      <c r="BF23" s="11" t="s">
        <v>400</v>
      </c>
      <c r="BG23" s="11">
        <v>21</v>
      </c>
      <c r="BH23" s="11">
        <v>454</v>
      </c>
      <c r="BI23" s="11">
        <v>153</v>
      </c>
      <c r="BJ23" s="11">
        <v>153</v>
      </c>
      <c r="BK23" s="11">
        <v>6</v>
      </c>
      <c r="BL23" s="11">
        <v>147</v>
      </c>
      <c r="BM23" s="11">
        <v>108</v>
      </c>
      <c r="BN23" s="11">
        <v>15</v>
      </c>
      <c r="BO23" s="11">
        <v>1</v>
      </c>
      <c r="BP23" s="11">
        <v>0</v>
      </c>
      <c r="BQ23" s="11">
        <v>1</v>
      </c>
      <c r="BR23" s="11">
        <v>0</v>
      </c>
      <c r="BS23" s="11">
        <v>18</v>
      </c>
      <c r="BT23" s="11">
        <v>1</v>
      </c>
      <c r="BU23" s="11">
        <v>0</v>
      </c>
      <c r="BV23" s="11">
        <v>0</v>
      </c>
      <c r="BW23" s="11">
        <v>0</v>
      </c>
      <c r="BX23" s="11">
        <v>1</v>
      </c>
      <c r="BY23" s="11">
        <v>0</v>
      </c>
      <c r="BZ23" s="11">
        <v>2</v>
      </c>
      <c r="CA23" s="11">
        <v>0</v>
      </c>
      <c r="CB23" s="11">
        <v>0</v>
      </c>
      <c r="CC23" s="11">
        <v>0</v>
      </c>
      <c r="CD23" s="11">
        <v>0</v>
      </c>
      <c r="CE23">
        <f t="shared" si="0"/>
        <v>124</v>
      </c>
      <c r="CF23">
        <f t="shared" si="1"/>
        <v>1</v>
      </c>
      <c r="CG23">
        <f t="shared" si="2"/>
        <v>19</v>
      </c>
      <c r="CH23">
        <f t="shared" si="3"/>
        <v>2</v>
      </c>
      <c r="CI23">
        <v>1</v>
      </c>
      <c r="CJ23" s="11">
        <v>454</v>
      </c>
      <c r="CK23" s="14">
        <v>0.33700440528634362</v>
      </c>
      <c r="CL23" s="14">
        <v>0.81045751633986929</v>
      </c>
      <c r="CM23" s="14">
        <v>6.5359477124183009E-3</v>
      </c>
      <c r="CN23" s="14">
        <v>0.12418300653594772</v>
      </c>
      <c r="CO23" s="14">
        <v>1.3071895424836602E-2</v>
      </c>
      <c r="CP23" s="14">
        <v>6.5359477124183009E-3</v>
      </c>
      <c r="CQ23" s="30">
        <v>5</v>
      </c>
      <c r="CR23" s="15">
        <v>133</v>
      </c>
      <c r="CS23">
        <v>10</v>
      </c>
      <c r="CT23">
        <v>12</v>
      </c>
      <c r="CV23">
        <v>1</v>
      </c>
      <c r="CW23" s="14">
        <v>0.35407725321888411</v>
      </c>
      <c r="CX23" s="14">
        <v>0.80606060606060603</v>
      </c>
      <c r="CY23" s="14">
        <v>6.0606060606060608E-2</v>
      </c>
      <c r="CZ23" s="14">
        <v>7.2727272727272724E-2</v>
      </c>
      <c r="DA23" s="14">
        <v>0</v>
      </c>
      <c r="DB23" s="14">
        <v>6.0606060606060606E-3</v>
      </c>
      <c r="DC23" s="30">
        <v>5</v>
      </c>
      <c r="DD23" s="14" t="s">
        <v>474</v>
      </c>
      <c r="DE23" s="17" t="s">
        <v>437</v>
      </c>
      <c r="DF23" s="17" t="s">
        <v>437</v>
      </c>
      <c r="DG23" s="17" t="s">
        <v>453</v>
      </c>
      <c r="DH23" s="21">
        <v>146.05000000000001</v>
      </c>
      <c r="DI23" s="16">
        <v>454</v>
      </c>
      <c r="DJ23" s="16">
        <v>0</v>
      </c>
      <c r="DK23" s="16">
        <v>153</v>
      </c>
      <c r="DL23" s="23">
        <v>0.33700440528634362</v>
      </c>
      <c r="DM23" s="16">
        <v>1</v>
      </c>
      <c r="DN23">
        <v>5</v>
      </c>
      <c r="DO23" s="25"/>
      <c r="DP23" s="25"/>
      <c r="DQ23" s="25"/>
      <c r="DR23" s="26"/>
      <c r="DS23" s="26"/>
    </row>
    <row r="24" spans="1:123" ht="14.25" customHeight="1">
      <c r="A24" s="2">
        <v>4873</v>
      </c>
      <c r="B24" s="3" t="s">
        <v>42</v>
      </c>
      <c r="C24" s="3" t="s">
        <v>44</v>
      </c>
      <c r="D24" s="4">
        <v>22</v>
      </c>
      <c r="E24" s="3" t="s">
        <v>98</v>
      </c>
      <c r="F24" s="3" t="s">
        <v>41</v>
      </c>
      <c r="G24" s="4" t="s">
        <v>99</v>
      </c>
      <c r="H24" s="4" t="b">
        <v>1</v>
      </c>
      <c r="I24" s="4" t="b">
        <v>1</v>
      </c>
      <c r="J24" s="5" t="s">
        <v>99</v>
      </c>
      <c r="K24" s="5" t="s">
        <v>44</v>
      </c>
      <c r="L24" s="5" t="s">
        <v>98</v>
      </c>
      <c r="M24" s="5" t="s">
        <v>41</v>
      </c>
      <c r="N24" s="2" t="s">
        <v>13</v>
      </c>
      <c r="O24" s="2" t="s">
        <v>399</v>
      </c>
      <c r="P24" s="2">
        <v>70840</v>
      </c>
      <c r="Q24" s="2" t="s">
        <v>400</v>
      </c>
      <c r="R24" s="2">
        <v>407</v>
      </c>
      <c r="S24" s="2">
        <v>142</v>
      </c>
      <c r="T24" s="2">
        <v>142</v>
      </c>
      <c r="U24" s="2">
        <v>6</v>
      </c>
      <c r="V24" s="2">
        <v>136</v>
      </c>
      <c r="W24" s="2">
        <v>79</v>
      </c>
      <c r="X24" s="2">
        <v>31</v>
      </c>
      <c r="Y24" s="2">
        <v>0</v>
      </c>
      <c r="Z24" s="2">
        <v>1</v>
      </c>
      <c r="AA24" s="2">
        <v>11</v>
      </c>
      <c r="AB24" s="2">
        <v>2</v>
      </c>
      <c r="AC24" s="2">
        <v>1</v>
      </c>
      <c r="AD24" s="2">
        <v>0</v>
      </c>
      <c r="AE24" s="2">
        <v>0</v>
      </c>
      <c r="AF24" s="2">
        <v>7</v>
      </c>
      <c r="AG24" s="2">
        <v>3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407</v>
      </c>
      <c r="AQ24" s="2">
        <v>142</v>
      </c>
      <c r="AR24" s="2">
        <v>142</v>
      </c>
      <c r="AS24" s="2">
        <v>4</v>
      </c>
      <c r="AT24" s="2">
        <v>138</v>
      </c>
      <c r="AU24" s="2">
        <v>0</v>
      </c>
      <c r="AV24" s="2">
        <v>1</v>
      </c>
      <c r="AW24" s="2">
        <v>5</v>
      </c>
      <c r="AX24" s="2">
        <v>14</v>
      </c>
      <c r="AY24" s="2">
        <v>1</v>
      </c>
      <c r="AZ24" s="2">
        <v>108</v>
      </c>
      <c r="BA24" s="2">
        <v>3</v>
      </c>
      <c r="BB24" s="2">
        <v>6</v>
      </c>
      <c r="BC24" s="11" t="s">
        <v>13</v>
      </c>
      <c r="BD24" s="11" t="s">
        <v>424</v>
      </c>
      <c r="BE24" s="11">
        <v>70840</v>
      </c>
      <c r="BF24" s="11" t="s">
        <v>400</v>
      </c>
      <c r="BG24" s="11">
        <v>22</v>
      </c>
      <c r="BH24" s="11">
        <v>414</v>
      </c>
      <c r="BI24" s="11">
        <v>131</v>
      </c>
      <c r="BJ24" s="11">
        <v>131</v>
      </c>
      <c r="BK24" s="11">
        <v>5</v>
      </c>
      <c r="BL24" s="11">
        <v>126</v>
      </c>
      <c r="BM24" s="11">
        <v>73</v>
      </c>
      <c r="BN24" s="11">
        <v>22</v>
      </c>
      <c r="BO24" s="11">
        <v>1</v>
      </c>
      <c r="BP24" s="11">
        <v>4</v>
      </c>
      <c r="BQ24" s="11">
        <v>4</v>
      </c>
      <c r="BR24" s="11">
        <v>0</v>
      </c>
      <c r="BS24" s="11">
        <v>18</v>
      </c>
      <c r="BT24" s="11">
        <v>0</v>
      </c>
      <c r="BU24" s="11">
        <v>0</v>
      </c>
      <c r="BV24" s="11">
        <v>1</v>
      </c>
      <c r="BW24" s="11">
        <v>0</v>
      </c>
      <c r="BX24" s="11">
        <v>0</v>
      </c>
      <c r="BY24" s="11">
        <v>0</v>
      </c>
      <c r="BZ24" s="11">
        <v>3</v>
      </c>
      <c r="CA24" s="11">
        <v>0</v>
      </c>
      <c r="CB24" s="11">
        <v>0</v>
      </c>
      <c r="CC24" s="11">
        <v>0</v>
      </c>
      <c r="CD24" s="11">
        <v>0</v>
      </c>
      <c r="CE24">
        <f t="shared" si="0"/>
        <v>96</v>
      </c>
      <c r="CF24">
        <f t="shared" si="1"/>
        <v>8</v>
      </c>
      <c r="CG24">
        <f t="shared" si="2"/>
        <v>18</v>
      </c>
      <c r="CH24">
        <f t="shared" si="3"/>
        <v>3</v>
      </c>
      <c r="CI24">
        <v>1</v>
      </c>
      <c r="CJ24" s="11">
        <v>414</v>
      </c>
      <c r="CK24" s="14">
        <v>0.31642512077294688</v>
      </c>
      <c r="CL24" s="14">
        <v>0.73282442748091603</v>
      </c>
      <c r="CM24" s="14">
        <v>6.1068702290076333E-2</v>
      </c>
      <c r="CN24" s="14">
        <v>0.13740458015267176</v>
      </c>
      <c r="CO24" s="14">
        <v>2.2900763358778626E-2</v>
      </c>
      <c r="CP24" s="14">
        <v>7.6335877862595417E-3</v>
      </c>
      <c r="CQ24" s="30">
        <v>5</v>
      </c>
      <c r="CR24" s="15">
        <v>111</v>
      </c>
      <c r="CS24">
        <v>13</v>
      </c>
      <c r="CT24">
        <v>11</v>
      </c>
      <c r="CV24">
        <v>1</v>
      </c>
      <c r="CW24" s="14">
        <v>0.34889434889434889</v>
      </c>
      <c r="CX24" s="14">
        <v>0.78169014084507038</v>
      </c>
      <c r="CY24" s="14">
        <v>9.154929577464789E-2</v>
      </c>
      <c r="CZ24" s="14">
        <v>7.746478873239436E-2</v>
      </c>
      <c r="DA24" s="14">
        <v>0</v>
      </c>
      <c r="DB24" s="14">
        <v>7.0422535211267607E-3</v>
      </c>
      <c r="DC24" s="30">
        <v>5</v>
      </c>
      <c r="DD24" s="14" t="s">
        <v>474</v>
      </c>
      <c r="DE24" s="17" t="s">
        <v>437</v>
      </c>
      <c r="DF24" s="17" t="s">
        <v>437</v>
      </c>
      <c r="DG24" s="17" t="s">
        <v>453</v>
      </c>
      <c r="DH24" s="21">
        <v>142.91</v>
      </c>
      <c r="DI24" s="16">
        <v>414</v>
      </c>
      <c r="DJ24" s="16">
        <v>0</v>
      </c>
      <c r="DK24" s="16">
        <v>131</v>
      </c>
      <c r="DL24" s="23">
        <v>0.31642512077294688</v>
      </c>
      <c r="DM24" s="16">
        <v>1</v>
      </c>
      <c r="DN24">
        <v>5</v>
      </c>
      <c r="DO24" s="25"/>
      <c r="DP24" s="25"/>
      <c r="DQ24" s="25"/>
      <c r="DR24" s="26"/>
      <c r="DS24" s="26"/>
    </row>
    <row r="25" spans="1:123" ht="14.25" customHeight="1">
      <c r="A25" s="2">
        <v>4874</v>
      </c>
      <c r="B25" s="3" t="s">
        <v>42</v>
      </c>
      <c r="C25" s="3" t="s">
        <v>44</v>
      </c>
      <c r="D25" s="4">
        <v>23</v>
      </c>
      <c r="E25" s="3" t="s">
        <v>27</v>
      </c>
      <c r="F25" s="3" t="s">
        <v>100</v>
      </c>
      <c r="G25" s="4" t="s">
        <v>101</v>
      </c>
      <c r="H25" s="4" t="b">
        <v>1</v>
      </c>
      <c r="I25" s="4" t="b">
        <v>1</v>
      </c>
      <c r="J25" s="5" t="s">
        <v>101</v>
      </c>
      <c r="K25" s="5" t="s">
        <v>44</v>
      </c>
      <c r="L25" s="5" t="s">
        <v>27</v>
      </c>
      <c r="M25" s="5" t="s">
        <v>100</v>
      </c>
      <c r="N25" s="2" t="s">
        <v>13</v>
      </c>
      <c r="O25" s="2" t="s">
        <v>399</v>
      </c>
      <c r="P25" s="2">
        <v>70840</v>
      </c>
      <c r="Q25" s="2" t="s">
        <v>400</v>
      </c>
      <c r="R25" s="2">
        <v>103</v>
      </c>
      <c r="S25" s="2">
        <v>54</v>
      </c>
      <c r="T25" s="2">
        <v>54</v>
      </c>
      <c r="U25" s="2">
        <v>4</v>
      </c>
      <c r="V25" s="2">
        <v>50</v>
      </c>
      <c r="W25" s="2">
        <v>25</v>
      </c>
      <c r="X25" s="2">
        <v>16</v>
      </c>
      <c r="Y25" s="2">
        <v>0</v>
      </c>
      <c r="Z25" s="2">
        <v>0</v>
      </c>
      <c r="AA25" s="2">
        <v>0</v>
      </c>
      <c r="AB25" s="2">
        <v>2</v>
      </c>
      <c r="AC25" s="2">
        <v>2</v>
      </c>
      <c r="AD25" s="2">
        <v>0</v>
      </c>
      <c r="AE25" s="2">
        <v>0</v>
      </c>
      <c r="AF25" s="2">
        <v>0</v>
      </c>
      <c r="AG25" s="2">
        <v>2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0</v>
      </c>
      <c r="AN25" s="2">
        <v>0</v>
      </c>
      <c r="AO25" s="2">
        <v>2</v>
      </c>
      <c r="AP25" s="2">
        <v>103</v>
      </c>
      <c r="AQ25" s="2">
        <v>54</v>
      </c>
      <c r="AR25" s="2">
        <v>54</v>
      </c>
      <c r="AS25" s="2">
        <v>0</v>
      </c>
      <c r="AT25" s="2">
        <v>54</v>
      </c>
      <c r="AU25" s="2">
        <v>2</v>
      </c>
      <c r="AV25" s="2">
        <v>0</v>
      </c>
      <c r="AW25" s="2">
        <v>0</v>
      </c>
      <c r="AX25" s="2">
        <v>2</v>
      </c>
      <c r="AY25" s="2">
        <v>1</v>
      </c>
      <c r="AZ25" s="2">
        <v>45</v>
      </c>
      <c r="BA25" s="2">
        <v>2</v>
      </c>
      <c r="BB25" s="2">
        <v>2</v>
      </c>
      <c r="BC25" s="11" t="s">
        <v>13</v>
      </c>
      <c r="BD25" s="11" t="s">
        <v>424</v>
      </c>
      <c r="BE25" s="11">
        <v>70840</v>
      </c>
      <c r="BF25" s="11" t="s">
        <v>400</v>
      </c>
      <c r="BG25" s="11">
        <v>23</v>
      </c>
      <c r="BH25" s="11">
        <v>98</v>
      </c>
      <c r="BI25" s="11">
        <v>51</v>
      </c>
      <c r="BJ25" s="11">
        <v>51</v>
      </c>
      <c r="BK25" s="11">
        <v>1</v>
      </c>
      <c r="BL25" s="11">
        <v>50</v>
      </c>
      <c r="BM25" s="11">
        <v>32</v>
      </c>
      <c r="BN25" s="11">
        <v>12</v>
      </c>
      <c r="BO25" s="11">
        <v>1</v>
      </c>
      <c r="BP25" s="11">
        <v>0</v>
      </c>
      <c r="BQ25" s="11">
        <v>3</v>
      </c>
      <c r="BR25" s="11">
        <v>0</v>
      </c>
      <c r="BS25" s="11">
        <v>1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1</v>
      </c>
      <c r="CA25" s="11">
        <v>0</v>
      </c>
      <c r="CB25" s="11">
        <v>0</v>
      </c>
      <c r="CC25" s="11">
        <v>0</v>
      </c>
      <c r="CD25" s="11">
        <v>0</v>
      </c>
      <c r="CE25">
        <f t="shared" si="0"/>
        <v>45</v>
      </c>
      <c r="CF25">
        <f t="shared" si="1"/>
        <v>3</v>
      </c>
      <c r="CG25">
        <f t="shared" si="2"/>
        <v>1</v>
      </c>
      <c r="CH25">
        <f t="shared" si="3"/>
        <v>1</v>
      </c>
      <c r="CI25">
        <v>0</v>
      </c>
      <c r="CJ25" s="11">
        <v>98</v>
      </c>
      <c r="CK25" s="14">
        <v>0.52040816326530615</v>
      </c>
      <c r="CL25" s="14">
        <v>0.88235294117647056</v>
      </c>
      <c r="CM25" s="14">
        <v>5.8823529411764705E-2</v>
      </c>
      <c r="CN25" s="14">
        <v>1.9607843137254902E-2</v>
      </c>
      <c r="CO25" s="14">
        <v>1.9607843137254902E-2</v>
      </c>
      <c r="CP25" s="14">
        <v>0</v>
      </c>
      <c r="CQ25" s="30">
        <v>6</v>
      </c>
      <c r="CR25" s="15">
        <v>41</v>
      </c>
      <c r="CS25">
        <v>6</v>
      </c>
      <c r="CT25">
        <v>1</v>
      </c>
      <c r="CV25">
        <v>2</v>
      </c>
      <c r="CW25" s="14">
        <v>0.52427184466019416</v>
      </c>
      <c r="CX25" s="14">
        <v>0.7592592592592593</v>
      </c>
      <c r="CY25" s="14">
        <v>0.1111111111111111</v>
      </c>
      <c r="CZ25" s="14">
        <v>1.8518518518518517E-2</v>
      </c>
      <c r="DA25" s="14">
        <v>0</v>
      </c>
      <c r="DB25" s="14">
        <v>3.7037037037037035E-2</v>
      </c>
      <c r="DC25" s="30">
        <v>6</v>
      </c>
      <c r="DD25" s="14" t="s">
        <v>482</v>
      </c>
      <c r="DE25" s="17" t="s">
        <v>438</v>
      </c>
      <c r="DF25" s="17" t="s">
        <v>438</v>
      </c>
      <c r="DG25" s="17" t="s">
        <v>451</v>
      </c>
      <c r="DH25" s="21">
        <v>26.23</v>
      </c>
      <c r="DI25" s="16">
        <v>98</v>
      </c>
      <c r="DJ25" s="16">
        <v>0</v>
      </c>
      <c r="DK25" s="16">
        <v>51</v>
      </c>
      <c r="DL25" s="23">
        <v>0.52040816326530615</v>
      </c>
      <c r="DM25" s="16">
        <v>1</v>
      </c>
      <c r="DN25">
        <v>6</v>
      </c>
      <c r="DO25" s="25"/>
      <c r="DP25" s="25"/>
      <c r="DQ25" s="25"/>
      <c r="DR25" s="26"/>
      <c r="DS25" s="26"/>
    </row>
    <row r="26" spans="1:123" ht="14.25" customHeight="1">
      <c r="A26" s="2">
        <v>4875</v>
      </c>
      <c r="B26" s="3" t="s">
        <v>42</v>
      </c>
      <c r="C26" s="3" t="s">
        <v>44</v>
      </c>
      <c r="D26" s="4">
        <v>24</v>
      </c>
      <c r="E26" s="3" t="s">
        <v>17</v>
      </c>
      <c r="F26" s="3" t="s">
        <v>102</v>
      </c>
      <c r="G26" s="4" t="s">
        <v>103</v>
      </c>
      <c r="H26" s="4" t="b">
        <v>1</v>
      </c>
      <c r="I26" s="4" t="b">
        <v>1</v>
      </c>
      <c r="J26" s="5" t="s">
        <v>103</v>
      </c>
      <c r="K26" s="5" t="s">
        <v>44</v>
      </c>
      <c r="L26" s="5" t="s">
        <v>17</v>
      </c>
      <c r="M26" s="5" t="s">
        <v>102</v>
      </c>
      <c r="N26" s="2" t="s">
        <v>13</v>
      </c>
      <c r="O26" s="2" t="s">
        <v>399</v>
      </c>
      <c r="P26" s="2">
        <v>70840</v>
      </c>
      <c r="Q26" s="2" t="s">
        <v>400</v>
      </c>
      <c r="R26" s="2">
        <v>579</v>
      </c>
      <c r="S26" s="2">
        <v>240</v>
      </c>
      <c r="T26" s="2">
        <v>240</v>
      </c>
      <c r="U26" s="2">
        <v>6</v>
      </c>
      <c r="V26" s="2">
        <v>234</v>
      </c>
      <c r="W26" s="2">
        <v>155</v>
      </c>
      <c r="X26" s="2">
        <v>21</v>
      </c>
      <c r="Y26" s="2">
        <v>0</v>
      </c>
      <c r="Z26" s="2">
        <v>2</v>
      </c>
      <c r="AA26" s="2">
        <v>24</v>
      </c>
      <c r="AB26" s="2">
        <v>12</v>
      </c>
      <c r="AC26" s="2">
        <v>6</v>
      </c>
      <c r="AD26" s="2">
        <v>0</v>
      </c>
      <c r="AE26" s="2">
        <v>0</v>
      </c>
      <c r="AF26" s="2">
        <v>1</v>
      </c>
      <c r="AG26" s="2">
        <v>10</v>
      </c>
      <c r="AH26" s="2">
        <v>0</v>
      </c>
      <c r="AI26" s="2">
        <v>0</v>
      </c>
      <c r="AJ26" s="2">
        <v>2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579</v>
      </c>
      <c r="AQ26" s="2">
        <v>240</v>
      </c>
      <c r="AR26" s="2">
        <v>240</v>
      </c>
      <c r="AS26" s="2">
        <v>5</v>
      </c>
      <c r="AT26" s="2">
        <v>235</v>
      </c>
      <c r="AU26" s="2">
        <v>1</v>
      </c>
      <c r="AV26" s="2">
        <v>1</v>
      </c>
      <c r="AW26" s="2">
        <v>1</v>
      </c>
      <c r="AX26" s="2">
        <v>20</v>
      </c>
      <c r="AY26" s="2">
        <v>8</v>
      </c>
      <c r="AZ26" s="2">
        <v>183</v>
      </c>
      <c r="BA26" s="2">
        <v>9</v>
      </c>
      <c r="BB26" s="2">
        <v>12</v>
      </c>
      <c r="BC26" s="11" t="s">
        <v>13</v>
      </c>
      <c r="BD26" s="11" t="s">
        <v>424</v>
      </c>
      <c r="BE26" s="11">
        <v>70840</v>
      </c>
      <c r="BF26" s="11" t="s">
        <v>400</v>
      </c>
      <c r="BG26" s="11">
        <v>24</v>
      </c>
      <c r="BH26" s="11">
        <v>582</v>
      </c>
      <c r="BI26" s="11">
        <v>247</v>
      </c>
      <c r="BJ26" s="11">
        <v>247</v>
      </c>
      <c r="BK26" s="11">
        <v>9</v>
      </c>
      <c r="BL26" s="11">
        <v>238</v>
      </c>
      <c r="BM26" s="11">
        <v>180</v>
      </c>
      <c r="BN26" s="11">
        <v>6</v>
      </c>
      <c r="BO26" s="11">
        <v>1</v>
      </c>
      <c r="BP26" s="11">
        <v>2</v>
      </c>
      <c r="BQ26" s="11">
        <v>6</v>
      </c>
      <c r="BR26" s="11">
        <v>0</v>
      </c>
      <c r="BS26" s="11">
        <v>36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1</v>
      </c>
      <c r="BZ26" s="11">
        <v>6</v>
      </c>
      <c r="CA26" s="11">
        <v>0</v>
      </c>
      <c r="CB26" s="11">
        <v>0</v>
      </c>
      <c r="CC26" s="11">
        <v>0</v>
      </c>
      <c r="CD26" s="11">
        <v>0</v>
      </c>
      <c r="CE26">
        <f t="shared" si="0"/>
        <v>187</v>
      </c>
      <c r="CF26">
        <f t="shared" si="1"/>
        <v>8</v>
      </c>
      <c r="CG26">
        <f t="shared" si="2"/>
        <v>36</v>
      </c>
      <c r="CH26">
        <f t="shared" si="3"/>
        <v>6</v>
      </c>
      <c r="CI26">
        <v>1</v>
      </c>
      <c r="CJ26" s="11">
        <v>582</v>
      </c>
      <c r="CK26" s="14">
        <v>0.42439862542955326</v>
      </c>
      <c r="CL26" s="14">
        <v>0.75708502024291502</v>
      </c>
      <c r="CM26" s="14">
        <v>3.2388663967611336E-2</v>
      </c>
      <c r="CN26" s="14">
        <v>0.145748987854251</v>
      </c>
      <c r="CO26" s="14">
        <v>2.4291497975708502E-2</v>
      </c>
      <c r="CP26" s="14">
        <v>4.048582995951417E-3</v>
      </c>
      <c r="CQ26" s="30">
        <v>5</v>
      </c>
      <c r="CR26" s="15">
        <v>178</v>
      </c>
      <c r="CS26">
        <v>29</v>
      </c>
      <c r="CT26">
        <v>27</v>
      </c>
      <c r="CV26">
        <v>0</v>
      </c>
      <c r="CW26" s="14">
        <v>0.41450777202072536</v>
      </c>
      <c r="CX26" s="14">
        <v>0.7416666666666667</v>
      </c>
      <c r="CY26" s="14">
        <v>0.12083333333333333</v>
      </c>
      <c r="CZ26" s="14">
        <v>0.1125</v>
      </c>
      <c r="DA26" s="14">
        <v>0</v>
      </c>
      <c r="DB26" s="14">
        <v>0</v>
      </c>
      <c r="DC26" s="30">
        <v>5</v>
      </c>
      <c r="DD26" s="14" t="s">
        <v>474</v>
      </c>
      <c r="DE26" s="17" t="s">
        <v>437</v>
      </c>
      <c r="DF26" s="17" t="s">
        <v>437</v>
      </c>
      <c r="DG26" s="17" t="s">
        <v>453</v>
      </c>
      <c r="DH26" s="21">
        <v>182.17000000000002</v>
      </c>
      <c r="DI26" s="16">
        <v>582</v>
      </c>
      <c r="DJ26" s="16">
        <v>0</v>
      </c>
      <c r="DK26" s="16">
        <v>247</v>
      </c>
      <c r="DL26" s="23">
        <v>0.42439862542955326</v>
      </c>
      <c r="DM26" s="16">
        <v>1</v>
      </c>
      <c r="DN26">
        <v>5</v>
      </c>
      <c r="DO26" s="25"/>
      <c r="DP26" s="25"/>
      <c r="DQ26" s="25"/>
      <c r="DR26" s="26"/>
      <c r="DS26" s="26"/>
    </row>
    <row r="27" spans="1:123" ht="14.25" customHeight="1">
      <c r="A27" s="2">
        <v>4876</v>
      </c>
      <c r="B27" s="3" t="s">
        <v>42</v>
      </c>
      <c r="C27" s="3" t="s">
        <v>44</v>
      </c>
      <c r="D27" s="4">
        <v>25</v>
      </c>
      <c r="E27" s="3" t="s">
        <v>12</v>
      </c>
      <c r="F27" s="3" t="s">
        <v>104</v>
      </c>
      <c r="G27" s="4" t="s">
        <v>105</v>
      </c>
      <c r="H27" s="4" t="b">
        <v>1</v>
      </c>
      <c r="I27" s="4" t="b">
        <v>1</v>
      </c>
      <c r="J27" s="5" t="s">
        <v>105</v>
      </c>
      <c r="K27" s="5" t="s">
        <v>44</v>
      </c>
      <c r="L27" s="5" t="s">
        <v>12</v>
      </c>
      <c r="M27" s="5" t="s">
        <v>104</v>
      </c>
      <c r="N27" s="2" t="s">
        <v>13</v>
      </c>
      <c r="O27" s="2" t="s">
        <v>399</v>
      </c>
      <c r="P27" s="2">
        <v>70840</v>
      </c>
      <c r="Q27" s="2" t="s">
        <v>400</v>
      </c>
      <c r="R27" s="2">
        <v>218</v>
      </c>
      <c r="S27" s="2">
        <v>116</v>
      </c>
      <c r="T27" s="2">
        <v>116</v>
      </c>
      <c r="U27" s="2">
        <v>0</v>
      </c>
      <c r="V27" s="2">
        <v>116</v>
      </c>
      <c r="W27" s="2">
        <v>95</v>
      </c>
      <c r="X27" s="2">
        <v>11</v>
      </c>
      <c r="Y27" s="2">
        <v>0</v>
      </c>
      <c r="Z27" s="2">
        <v>0</v>
      </c>
      <c r="AA27" s="2">
        <v>3</v>
      </c>
      <c r="AB27" s="2">
        <v>1</v>
      </c>
      <c r="AC27" s="2">
        <v>1</v>
      </c>
      <c r="AD27" s="2">
        <v>0</v>
      </c>
      <c r="AE27" s="2">
        <v>0</v>
      </c>
      <c r="AF27" s="2">
        <v>0</v>
      </c>
      <c r="AG27" s="2">
        <v>2</v>
      </c>
      <c r="AH27" s="2">
        <v>0</v>
      </c>
      <c r="AI27" s="2">
        <v>0</v>
      </c>
      <c r="AJ27" s="2">
        <v>3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218</v>
      </c>
      <c r="AQ27" s="2">
        <v>116</v>
      </c>
      <c r="AR27" s="2">
        <v>116</v>
      </c>
      <c r="AS27" s="2">
        <v>0</v>
      </c>
      <c r="AT27" s="2">
        <v>116</v>
      </c>
      <c r="AU27" s="2">
        <v>1</v>
      </c>
      <c r="AV27" s="2">
        <v>2</v>
      </c>
      <c r="AW27" s="2">
        <v>0</v>
      </c>
      <c r="AX27" s="2">
        <v>3</v>
      </c>
      <c r="AY27" s="2">
        <v>1</v>
      </c>
      <c r="AZ27" s="2">
        <v>104</v>
      </c>
      <c r="BA27" s="2">
        <v>0</v>
      </c>
      <c r="BB27" s="2">
        <v>5</v>
      </c>
      <c r="BC27" s="11" t="s">
        <v>13</v>
      </c>
      <c r="BD27" s="11" t="s">
        <v>424</v>
      </c>
      <c r="BE27" s="11">
        <v>70840</v>
      </c>
      <c r="BF27" s="11" t="s">
        <v>400</v>
      </c>
      <c r="BG27" s="11">
        <v>25</v>
      </c>
      <c r="BH27" s="11">
        <v>210</v>
      </c>
      <c r="BI27" s="11">
        <v>103</v>
      </c>
      <c r="BJ27" s="11">
        <v>103</v>
      </c>
      <c r="BK27" s="11">
        <v>0</v>
      </c>
      <c r="BL27" s="11">
        <v>103</v>
      </c>
      <c r="BM27" s="11">
        <v>87</v>
      </c>
      <c r="BN27" s="11">
        <v>8</v>
      </c>
      <c r="BO27" s="11">
        <v>0</v>
      </c>
      <c r="BP27" s="11">
        <v>2</v>
      </c>
      <c r="BQ27" s="11">
        <v>0</v>
      </c>
      <c r="BR27" s="11">
        <v>0</v>
      </c>
      <c r="BS27" s="11">
        <v>5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1</v>
      </c>
      <c r="CA27" s="11">
        <v>0</v>
      </c>
      <c r="CB27" s="11">
        <v>0</v>
      </c>
      <c r="CC27" s="11">
        <v>0</v>
      </c>
      <c r="CD27" s="11">
        <v>0</v>
      </c>
      <c r="CE27">
        <f t="shared" si="0"/>
        <v>95</v>
      </c>
      <c r="CF27">
        <f t="shared" si="1"/>
        <v>2</v>
      </c>
      <c r="CG27">
        <f t="shared" si="2"/>
        <v>5</v>
      </c>
      <c r="CH27">
        <f t="shared" si="3"/>
        <v>1</v>
      </c>
      <c r="CI27">
        <v>0</v>
      </c>
      <c r="CJ27" s="11">
        <v>210</v>
      </c>
      <c r="CK27" s="14">
        <v>0.49047619047619045</v>
      </c>
      <c r="CL27" s="14">
        <v>0.92233009708737868</v>
      </c>
      <c r="CM27" s="14">
        <v>1.9417475728155338E-2</v>
      </c>
      <c r="CN27" s="14">
        <v>4.8543689320388349E-2</v>
      </c>
      <c r="CO27" s="14">
        <v>9.7087378640776691E-3</v>
      </c>
      <c r="CP27" s="14">
        <v>0</v>
      </c>
      <c r="CQ27" s="30">
        <v>5</v>
      </c>
      <c r="CR27" s="15">
        <v>106</v>
      </c>
      <c r="CS27">
        <v>4</v>
      </c>
      <c r="CT27">
        <v>6</v>
      </c>
      <c r="CV27">
        <v>0</v>
      </c>
      <c r="CW27" s="14">
        <v>0.5321100917431193</v>
      </c>
      <c r="CX27" s="14">
        <v>0.91379310344827591</v>
      </c>
      <c r="CY27" s="14">
        <v>3.4482758620689655E-2</v>
      </c>
      <c r="CZ27" s="14">
        <v>5.1724137931034482E-2</v>
      </c>
      <c r="DA27" s="14">
        <v>0</v>
      </c>
      <c r="DB27" s="14">
        <v>0</v>
      </c>
      <c r="DC27" s="30">
        <v>6</v>
      </c>
      <c r="DD27" s="14" t="s">
        <v>476</v>
      </c>
      <c r="DE27" s="17" t="s">
        <v>437</v>
      </c>
      <c r="DF27" s="17" t="s">
        <v>438</v>
      </c>
      <c r="DG27" s="17" t="s">
        <v>455</v>
      </c>
      <c r="DH27" s="21">
        <v>53.110000000000007</v>
      </c>
      <c r="DI27" s="16">
        <v>210</v>
      </c>
      <c r="DJ27" s="16">
        <v>0</v>
      </c>
      <c r="DK27" s="16">
        <v>103</v>
      </c>
      <c r="DL27" s="23">
        <v>0.49047619047619045</v>
      </c>
      <c r="DM27" s="16">
        <v>1</v>
      </c>
      <c r="DN27">
        <v>5</v>
      </c>
      <c r="DO27" s="25"/>
      <c r="DP27" s="25"/>
      <c r="DQ27" s="25"/>
      <c r="DR27" s="26"/>
      <c r="DS27" s="26"/>
    </row>
    <row r="28" spans="1:123" ht="14.25" customHeight="1">
      <c r="A28" s="2">
        <v>4877</v>
      </c>
      <c r="B28" s="3" t="s">
        <v>42</v>
      </c>
      <c r="C28" s="3" t="s">
        <v>44</v>
      </c>
      <c r="D28" s="4">
        <v>26</v>
      </c>
      <c r="E28" s="3" t="s">
        <v>106</v>
      </c>
      <c r="F28" s="3" t="s">
        <v>107</v>
      </c>
      <c r="G28" s="4" t="s">
        <v>108</v>
      </c>
      <c r="H28" s="4" t="b">
        <v>1</v>
      </c>
      <c r="I28" s="4" t="b">
        <v>1</v>
      </c>
      <c r="J28" s="5" t="s">
        <v>108</v>
      </c>
      <c r="K28" s="5" t="s">
        <v>44</v>
      </c>
      <c r="L28" s="5" t="s">
        <v>106</v>
      </c>
      <c r="M28" s="5" t="s">
        <v>107</v>
      </c>
      <c r="N28" s="2" t="s">
        <v>13</v>
      </c>
      <c r="O28" s="2" t="s">
        <v>399</v>
      </c>
      <c r="P28" s="2">
        <v>70840</v>
      </c>
      <c r="Q28" s="2" t="s">
        <v>400</v>
      </c>
      <c r="R28" s="2">
        <v>539</v>
      </c>
      <c r="S28" s="2">
        <v>199</v>
      </c>
      <c r="T28" s="2">
        <v>199</v>
      </c>
      <c r="U28" s="2">
        <v>8</v>
      </c>
      <c r="V28" s="2">
        <v>191</v>
      </c>
      <c r="W28" s="2">
        <v>139</v>
      </c>
      <c r="X28" s="2">
        <v>35</v>
      </c>
      <c r="Y28" s="2">
        <v>0</v>
      </c>
      <c r="Z28" s="2">
        <v>5</v>
      </c>
      <c r="AA28" s="2">
        <v>1</v>
      </c>
      <c r="AB28" s="2">
        <v>5</v>
      </c>
      <c r="AC28" s="2">
        <v>0</v>
      </c>
      <c r="AD28" s="2">
        <v>0</v>
      </c>
      <c r="AE28" s="2">
        <v>0</v>
      </c>
      <c r="AF28" s="2">
        <v>0</v>
      </c>
      <c r="AG28" s="2">
        <v>4</v>
      </c>
      <c r="AH28" s="2">
        <v>0</v>
      </c>
      <c r="AI28" s="2">
        <v>0</v>
      </c>
      <c r="AJ28" s="2">
        <v>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539</v>
      </c>
      <c r="AQ28" s="2">
        <v>199</v>
      </c>
      <c r="AR28" s="2">
        <v>199</v>
      </c>
      <c r="AS28" s="2">
        <v>8</v>
      </c>
      <c r="AT28" s="2">
        <v>191</v>
      </c>
      <c r="AU28" s="2">
        <v>9</v>
      </c>
      <c r="AV28" s="2">
        <v>1</v>
      </c>
      <c r="AW28" s="2">
        <v>0</v>
      </c>
      <c r="AX28" s="2">
        <v>1</v>
      </c>
      <c r="AY28" s="2">
        <v>0</v>
      </c>
      <c r="AZ28" s="2">
        <v>171</v>
      </c>
      <c r="BA28" s="2">
        <v>2</v>
      </c>
      <c r="BB28" s="2">
        <v>7</v>
      </c>
      <c r="BC28" s="11" t="s">
        <v>13</v>
      </c>
      <c r="BD28" s="11" t="s">
        <v>424</v>
      </c>
      <c r="BE28" s="11">
        <v>70840</v>
      </c>
      <c r="BF28" s="11" t="s">
        <v>400</v>
      </c>
      <c r="BG28" s="11">
        <v>26</v>
      </c>
      <c r="BH28" s="11">
        <v>525</v>
      </c>
      <c r="BI28" s="11">
        <v>277</v>
      </c>
      <c r="BJ28" s="11">
        <v>277</v>
      </c>
      <c r="BK28" s="11">
        <v>5</v>
      </c>
      <c r="BL28" s="11">
        <v>272</v>
      </c>
      <c r="BM28" s="11">
        <v>224</v>
      </c>
      <c r="BN28" s="11">
        <v>19</v>
      </c>
      <c r="BO28" s="11">
        <v>0</v>
      </c>
      <c r="BP28" s="11">
        <v>1</v>
      </c>
      <c r="BQ28" s="11">
        <v>3</v>
      </c>
      <c r="BR28" s="11">
        <v>1</v>
      </c>
      <c r="BS28" s="11">
        <v>18</v>
      </c>
      <c r="BT28" s="11">
        <v>1</v>
      </c>
      <c r="BU28" s="11">
        <v>1</v>
      </c>
      <c r="BV28" s="11">
        <v>1</v>
      </c>
      <c r="BW28" s="11">
        <v>0</v>
      </c>
      <c r="BX28" s="11">
        <v>1</v>
      </c>
      <c r="BY28" s="11">
        <v>0</v>
      </c>
      <c r="BZ28" s="11">
        <v>2</v>
      </c>
      <c r="CA28" s="11">
        <v>0</v>
      </c>
      <c r="CB28" s="11">
        <v>0</v>
      </c>
      <c r="CC28" s="11">
        <v>0</v>
      </c>
      <c r="CD28" s="11">
        <v>0</v>
      </c>
      <c r="CE28">
        <f t="shared" si="0"/>
        <v>243</v>
      </c>
      <c r="CF28">
        <f t="shared" si="1"/>
        <v>4</v>
      </c>
      <c r="CG28">
        <f t="shared" si="2"/>
        <v>19</v>
      </c>
      <c r="CH28">
        <f t="shared" si="3"/>
        <v>2</v>
      </c>
      <c r="CI28">
        <v>4</v>
      </c>
      <c r="CJ28" s="11">
        <v>525</v>
      </c>
      <c r="CK28" s="14">
        <v>0.52761904761904765</v>
      </c>
      <c r="CL28" s="14">
        <v>0.87725631768953072</v>
      </c>
      <c r="CM28" s="14">
        <v>1.444043321299639E-2</v>
      </c>
      <c r="CN28" s="14">
        <v>6.8592057761732855E-2</v>
      </c>
      <c r="CO28" s="14">
        <v>7.2202166064981952E-3</v>
      </c>
      <c r="CP28" s="14">
        <v>1.444043321299639E-2</v>
      </c>
      <c r="CQ28" s="30">
        <v>6</v>
      </c>
      <c r="CR28" s="15">
        <v>179</v>
      </c>
      <c r="CS28">
        <v>9</v>
      </c>
      <c r="CT28">
        <v>3</v>
      </c>
      <c r="CV28">
        <v>0</v>
      </c>
      <c r="CW28" s="14">
        <v>0.36920222634508348</v>
      </c>
      <c r="CX28" s="14">
        <v>0.89949748743718594</v>
      </c>
      <c r="CY28" s="14">
        <v>4.5226130653266333E-2</v>
      </c>
      <c r="CZ28" s="14">
        <v>1.507537688442211E-2</v>
      </c>
      <c r="DA28" s="14">
        <v>0</v>
      </c>
      <c r="DB28" s="14">
        <v>0</v>
      </c>
      <c r="DC28" s="30">
        <v>5</v>
      </c>
      <c r="DD28" s="14" t="s">
        <v>472</v>
      </c>
      <c r="DE28" s="17" t="s">
        <v>438</v>
      </c>
      <c r="DF28" s="17" t="s">
        <v>437</v>
      </c>
      <c r="DG28" s="17" t="s">
        <v>445</v>
      </c>
      <c r="DH28" s="21">
        <v>131.06</v>
      </c>
      <c r="DI28" s="16">
        <v>525</v>
      </c>
      <c r="DJ28" s="16">
        <v>0</v>
      </c>
      <c r="DK28" s="16">
        <v>277</v>
      </c>
      <c r="DL28" s="23">
        <v>0.52761904761904765</v>
      </c>
      <c r="DM28" s="16">
        <v>1</v>
      </c>
      <c r="DN28">
        <v>6</v>
      </c>
      <c r="DO28" s="25"/>
      <c r="DP28" s="25"/>
      <c r="DQ28" s="25"/>
      <c r="DR28" s="26"/>
      <c r="DS28" s="26"/>
    </row>
    <row r="29" spans="1:123" ht="14.25" customHeight="1">
      <c r="A29" s="2">
        <v>4878</v>
      </c>
      <c r="B29" s="3" t="s">
        <v>42</v>
      </c>
      <c r="C29" s="3" t="s">
        <v>44</v>
      </c>
      <c r="D29" s="4">
        <v>27</v>
      </c>
      <c r="E29" s="3" t="s">
        <v>12</v>
      </c>
      <c r="F29" s="3" t="s">
        <v>109</v>
      </c>
      <c r="G29" s="4" t="s">
        <v>110</v>
      </c>
      <c r="H29" s="4" t="b">
        <v>1</v>
      </c>
      <c r="I29" s="4" t="b">
        <v>1</v>
      </c>
      <c r="J29" s="5" t="s">
        <v>110</v>
      </c>
      <c r="K29" s="5" t="s">
        <v>44</v>
      </c>
      <c r="L29" s="5" t="s">
        <v>12</v>
      </c>
      <c r="M29" s="5" t="s">
        <v>109</v>
      </c>
      <c r="N29" s="2" t="s">
        <v>13</v>
      </c>
      <c r="O29" s="2" t="s">
        <v>399</v>
      </c>
      <c r="P29" s="2">
        <v>70840</v>
      </c>
      <c r="Q29" s="2" t="s">
        <v>400</v>
      </c>
      <c r="R29" s="2">
        <v>405</v>
      </c>
      <c r="S29" s="2">
        <v>146</v>
      </c>
      <c r="T29" s="2">
        <v>146</v>
      </c>
      <c r="U29" s="2">
        <v>0</v>
      </c>
      <c r="V29" s="2">
        <v>146</v>
      </c>
      <c r="W29" s="2">
        <v>88</v>
      </c>
      <c r="X29" s="2">
        <v>45</v>
      </c>
      <c r="Y29" s="2">
        <v>0</v>
      </c>
      <c r="Z29" s="2">
        <v>0</v>
      </c>
      <c r="AA29" s="2">
        <v>4</v>
      </c>
      <c r="AB29" s="2">
        <v>1</v>
      </c>
      <c r="AC29" s="2">
        <v>2</v>
      </c>
      <c r="AD29" s="2">
        <v>0</v>
      </c>
      <c r="AE29" s="2">
        <v>1</v>
      </c>
      <c r="AF29" s="2">
        <v>1</v>
      </c>
      <c r="AG29" s="2">
        <v>2</v>
      </c>
      <c r="AH29" s="2">
        <v>0</v>
      </c>
      <c r="AI29" s="2">
        <v>1</v>
      </c>
      <c r="AJ29" s="2">
        <v>1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405</v>
      </c>
      <c r="AQ29" s="2">
        <v>146</v>
      </c>
      <c r="AR29" s="2">
        <v>146</v>
      </c>
      <c r="AS29" s="2">
        <v>3</v>
      </c>
      <c r="AT29" s="2">
        <v>143</v>
      </c>
      <c r="AU29" s="2">
        <v>2</v>
      </c>
      <c r="AV29" s="2">
        <v>1</v>
      </c>
      <c r="AW29" s="2">
        <v>1</v>
      </c>
      <c r="AX29" s="2">
        <v>9</v>
      </c>
      <c r="AY29" s="2">
        <v>4</v>
      </c>
      <c r="AZ29" s="2">
        <v>117</v>
      </c>
      <c r="BA29" s="2">
        <v>6</v>
      </c>
      <c r="BB29" s="2">
        <v>3</v>
      </c>
      <c r="BC29" s="11" t="s">
        <v>13</v>
      </c>
      <c r="BD29" s="11" t="s">
        <v>424</v>
      </c>
      <c r="BE29" s="11">
        <v>70840</v>
      </c>
      <c r="BF29" s="11" t="s">
        <v>400</v>
      </c>
      <c r="BG29" s="11">
        <v>27</v>
      </c>
      <c r="BH29" s="11">
        <v>411</v>
      </c>
      <c r="BI29" s="11">
        <v>134</v>
      </c>
      <c r="BJ29" s="11">
        <v>134</v>
      </c>
      <c r="BK29" s="11">
        <v>1</v>
      </c>
      <c r="BL29" s="11">
        <v>133</v>
      </c>
      <c r="BM29" s="11">
        <v>94</v>
      </c>
      <c r="BN29" s="11">
        <v>21</v>
      </c>
      <c r="BO29" s="11">
        <v>1</v>
      </c>
      <c r="BP29" s="11">
        <v>1</v>
      </c>
      <c r="BQ29" s="11">
        <v>1</v>
      </c>
      <c r="BR29" s="11">
        <v>0</v>
      </c>
      <c r="BS29" s="11">
        <v>13</v>
      </c>
      <c r="BT29" s="11">
        <v>0</v>
      </c>
      <c r="BU29" s="11">
        <v>0</v>
      </c>
      <c r="BV29" s="11">
        <v>0</v>
      </c>
      <c r="BW29" s="11">
        <v>0</v>
      </c>
      <c r="BX29" s="11">
        <v>1</v>
      </c>
      <c r="BY29" s="11">
        <v>0</v>
      </c>
      <c r="BZ29" s="11">
        <v>1</v>
      </c>
      <c r="CA29" s="11">
        <v>0</v>
      </c>
      <c r="CB29" s="11">
        <v>0</v>
      </c>
      <c r="CC29" s="11">
        <v>0</v>
      </c>
      <c r="CD29" s="11">
        <v>0</v>
      </c>
      <c r="CE29">
        <f t="shared" si="0"/>
        <v>116</v>
      </c>
      <c r="CF29">
        <f t="shared" si="1"/>
        <v>2</v>
      </c>
      <c r="CG29">
        <f t="shared" si="2"/>
        <v>14</v>
      </c>
      <c r="CH29">
        <f t="shared" si="3"/>
        <v>1</v>
      </c>
      <c r="CI29">
        <v>0</v>
      </c>
      <c r="CJ29" s="11">
        <v>411</v>
      </c>
      <c r="CK29" s="14">
        <v>0.32603406326034062</v>
      </c>
      <c r="CL29" s="14">
        <v>0.86567164179104472</v>
      </c>
      <c r="CM29" s="14">
        <v>1.4925373134328358E-2</v>
      </c>
      <c r="CN29" s="14">
        <v>0.1044776119402985</v>
      </c>
      <c r="CO29" s="14">
        <v>7.462686567164179E-3</v>
      </c>
      <c r="CP29" s="14">
        <v>0</v>
      </c>
      <c r="CQ29" s="30">
        <v>5</v>
      </c>
      <c r="CR29" s="15">
        <v>133</v>
      </c>
      <c r="CS29">
        <v>6</v>
      </c>
      <c r="CT29">
        <v>6</v>
      </c>
      <c r="CV29">
        <v>1</v>
      </c>
      <c r="CW29" s="14">
        <v>0.36049382716049383</v>
      </c>
      <c r="CX29" s="14">
        <v>0.91095890410958902</v>
      </c>
      <c r="CY29" s="14">
        <v>4.1095890410958902E-2</v>
      </c>
      <c r="CZ29" s="14">
        <v>4.1095890410958902E-2</v>
      </c>
      <c r="DA29" s="14">
        <v>0</v>
      </c>
      <c r="DB29" s="14">
        <v>6.8493150684931503E-3</v>
      </c>
      <c r="DC29" s="30">
        <v>5</v>
      </c>
      <c r="DD29" s="14" t="s">
        <v>474</v>
      </c>
      <c r="DE29" s="17" t="s">
        <v>437</v>
      </c>
      <c r="DF29" s="17" t="s">
        <v>437</v>
      </c>
      <c r="DG29" s="17" t="s">
        <v>453</v>
      </c>
      <c r="DH29" s="21">
        <v>132.61000000000001</v>
      </c>
      <c r="DI29" s="16">
        <v>411</v>
      </c>
      <c r="DJ29" s="16">
        <v>0</v>
      </c>
      <c r="DK29" s="16">
        <v>134</v>
      </c>
      <c r="DL29" s="23">
        <v>0.32603406326034062</v>
      </c>
      <c r="DM29" s="16">
        <v>1</v>
      </c>
      <c r="DN29">
        <v>5</v>
      </c>
      <c r="DO29" s="25"/>
      <c r="DP29" s="25"/>
      <c r="DQ29" s="25"/>
      <c r="DR29" s="26"/>
      <c r="DS29" s="26"/>
    </row>
    <row r="30" spans="1:123" ht="14.25" customHeight="1">
      <c r="A30" s="2">
        <v>4879</v>
      </c>
      <c r="B30" s="3" t="s">
        <v>42</v>
      </c>
      <c r="C30" s="3" t="s">
        <v>44</v>
      </c>
      <c r="D30" s="4">
        <v>28</v>
      </c>
      <c r="E30" s="3" t="s">
        <v>29</v>
      </c>
      <c r="F30" s="3" t="s">
        <v>109</v>
      </c>
      <c r="G30" s="4" t="s">
        <v>111</v>
      </c>
      <c r="H30" s="4" t="b">
        <v>1</v>
      </c>
      <c r="I30" s="4" t="b">
        <v>1</v>
      </c>
      <c r="J30" s="5" t="s">
        <v>111</v>
      </c>
      <c r="K30" s="5" t="s">
        <v>44</v>
      </c>
      <c r="L30" s="5" t="s">
        <v>29</v>
      </c>
      <c r="M30" s="5" t="s">
        <v>109</v>
      </c>
      <c r="N30" s="2" t="s">
        <v>13</v>
      </c>
      <c r="O30" s="2" t="s">
        <v>399</v>
      </c>
      <c r="P30" s="2">
        <v>70840</v>
      </c>
      <c r="Q30" s="2" t="s">
        <v>400</v>
      </c>
      <c r="R30" s="2">
        <v>355</v>
      </c>
      <c r="S30" s="2">
        <v>102</v>
      </c>
      <c r="T30" s="2">
        <v>102</v>
      </c>
      <c r="U30" s="2">
        <v>2</v>
      </c>
      <c r="V30" s="2">
        <v>100</v>
      </c>
      <c r="W30" s="2">
        <v>85</v>
      </c>
      <c r="X30" s="2">
        <v>8</v>
      </c>
      <c r="Y30" s="2">
        <v>0</v>
      </c>
      <c r="Z30" s="2">
        <v>1</v>
      </c>
      <c r="AA30" s="2">
        <v>3</v>
      </c>
      <c r="AB30" s="2">
        <v>1</v>
      </c>
      <c r="AC30" s="2">
        <v>2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355</v>
      </c>
      <c r="AQ30" s="2">
        <v>102</v>
      </c>
      <c r="AR30" s="2">
        <v>102</v>
      </c>
      <c r="AS30" s="2">
        <v>1</v>
      </c>
      <c r="AT30" s="2">
        <v>101</v>
      </c>
      <c r="AU30" s="2">
        <v>1</v>
      </c>
      <c r="AV30" s="2">
        <v>0</v>
      </c>
      <c r="AW30" s="2">
        <v>0</v>
      </c>
      <c r="AX30" s="2">
        <v>3</v>
      </c>
      <c r="AY30" s="2">
        <v>1</v>
      </c>
      <c r="AZ30" s="2">
        <v>94</v>
      </c>
      <c r="BA30" s="2">
        <v>1</v>
      </c>
      <c r="BB30" s="2">
        <v>1</v>
      </c>
      <c r="BC30" s="11" t="s">
        <v>13</v>
      </c>
      <c r="BD30" s="11" t="s">
        <v>424</v>
      </c>
      <c r="BE30" s="11">
        <v>70840</v>
      </c>
      <c r="BF30" s="11" t="s">
        <v>400</v>
      </c>
      <c r="BG30" s="11">
        <v>28</v>
      </c>
      <c r="BH30" s="11">
        <v>349</v>
      </c>
      <c r="BI30" s="11">
        <v>100</v>
      </c>
      <c r="BJ30" s="11">
        <v>100</v>
      </c>
      <c r="BK30" s="11">
        <v>1</v>
      </c>
      <c r="BL30" s="11">
        <v>99</v>
      </c>
      <c r="BM30" s="11">
        <v>86</v>
      </c>
      <c r="BN30" s="11">
        <v>8</v>
      </c>
      <c r="BO30" s="11">
        <v>0</v>
      </c>
      <c r="BP30" s="11">
        <v>0</v>
      </c>
      <c r="BQ30" s="11">
        <v>0</v>
      </c>
      <c r="BR30" s="11">
        <v>0</v>
      </c>
      <c r="BS30" s="11">
        <v>4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1</v>
      </c>
      <c r="CA30" s="11">
        <v>0</v>
      </c>
      <c r="CB30" s="11">
        <v>0</v>
      </c>
      <c r="CC30" s="11">
        <v>0</v>
      </c>
      <c r="CD30" s="11">
        <v>0</v>
      </c>
      <c r="CE30">
        <f t="shared" si="0"/>
        <v>94</v>
      </c>
      <c r="CF30">
        <f t="shared" si="1"/>
        <v>0</v>
      </c>
      <c r="CG30">
        <f t="shared" si="2"/>
        <v>4</v>
      </c>
      <c r="CH30">
        <f t="shared" si="3"/>
        <v>1</v>
      </c>
      <c r="CI30">
        <v>0</v>
      </c>
      <c r="CJ30" s="11">
        <v>349</v>
      </c>
      <c r="CK30" s="14">
        <v>0.28653295128939826</v>
      </c>
      <c r="CL30" s="14">
        <v>0.94</v>
      </c>
      <c r="CM30" s="14">
        <v>0</v>
      </c>
      <c r="CN30" s="14">
        <v>0.04</v>
      </c>
      <c r="CO30" s="14">
        <v>0.01</v>
      </c>
      <c r="CP30" s="14">
        <v>0</v>
      </c>
      <c r="CQ30" s="30">
        <v>5</v>
      </c>
      <c r="CR30" s="15">
        <v>94</v>
      </c>
      <c r="CS30">
        <v>3</v>
      </c>
      <c r="CT30">
        <v>3</v>
      </c>
      <c r="CV30">
        <v>0</v>
      </c>
      <c r="CW30" s="14">
        <v>0.28732394366197184</v>
      </c>
      <c r="CX30" s="14">
        <v>0.92156862745098034</v>
      </c>
      <c r="CY30" s="14">
        <v>2.9411764705882353E-2</v>
      </c>
      <c r="CZ30" s="14">
        <v>2.9411764705882353E-2</v>
      </c>
      <c r="DA30" s="14">
        <v>0</v>
      </c>
      <c r="DB30" s="14">
        <v>0</v>
      </c>
      <c r="DC30" s="30">
        <v>5</v>
      </c>
      <c r="DD30" s="14" t="s">
        <v>474</v>
      </c>
      <c r="DE30" s="17" t="s">
        <v>437</v>
      </c>
      <c r="DF30" s="17" t="s">
        <v>437</v>
      </c>
      <c r="DG30" s="17" t="s">
        <v>453</v>
      </c>
      <c r="DH30" s="21">
        <v>108.19000000000001</v>
      </c>
      <c r="DI30" s="16">
        <v>349</v>
      </c>
      <c r="DJ30" s="16">
        <v>0</v>
      </c>
      <c r="DK30" s="16">
        <v>100</v>
      </c>
      <c r="DL30" s="23">
        <v>0.28653295128939826</v>
      </c>
      <c r="DM30" s="16">
        <v>1</v>
      </c>
      <c r="DN30">
        <v>5</v>
      </c>
      <c r="DO30" s="25"/>
      <c r="DP30" s="25"/>
      <c r="DQ30" s="25"/>
      <c r="DR30" s="26"/>
      <c r="DS30" s="26"/>
    </row>
    <row r="31" spans="1:123" ht="14.25" customHeight="1">
      <c r="A31" s="2">
        <v>4880</v>
      </c>
      <c r="B31" s="3" t="s">
        <v>42</v>
      </c>
      <c r="C31" s="3" t="s">
        <v>44</v>
      </c>
      <c r="D31" s="4">
        <v>29</v>
      </c>
      <c r="E31" s="3" t="s">
        <v>33</v>
      </c>
      <c r="F31" s="3" t="s">
        <v>109</v>
      </c>
      <c r="G31" s="4" t="s">
        <v>112</v>
      </c>
      <c r="H31" s="4" t="b">
        <v>1</v>
      </c>
      <c r="I31" s="4" t="b">
        <v>1</v>
      </c>
      <c r="J31" s="5" t="s">
        <v>112</v>
      </c>
      <c r="K31" s="5" t="s">
        <v>44</v>
      </c>
      <c r="L31" s="5" t="s">
        <v>33</v>
      </c>
      <c r="M31" s="5" t="s">
        <v>109</v>
      </c>
      <c r="N31" s="2" t="s">
        <v>13</v>
      </c>
      <c r="O31" s="2" t="s">
        <v>399</v>
      </c>
      <c r="P31" s="2">
        <v>70840</v>
      </c>
      <c r="Q31" s="2" t="s">
        <v>400</v>
      </c>
      <c r="R31" s="2">
        <v>456</v>
      </c>
      <c r="S31" s="2">
        <v>150</v>
      </c>
      <c r="T31" s="2">
        <v>150</v>
      </c>
      <c r="U31" s="2">
        <v>3</v>
      </c>
      <c r="V31" s="2">
        <v>147</v>
      </c>
      <c r="W31" s="2">
        <v>119</v>
      </c>
      <c r="X31" s="2">
        <v>17</v>
      </c>
      <c r="Y31" s="2">
        <v>1</v>
      </c>
      <c r="Z31" s="2">
        <v>1</v>
      </c>
      <c r="AA31" s="2">
        <v>7</v>
      </c>
      <c r="AB31" s="2">
        <v>1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456</v>
      </c>
      <c r="AQ31" s="2">
        <v>150</v>
      </c>
      <c r="AR31" s="2">
        <v>150</v>
      </c>
      <c r="AS31" s="2">
        <v>3</v>
      </c>
      <c r="AT31" s="2">
        <v>147</v>
      </c>
      <c r="AU31" s="2">
        <v>7</v>
      </c>
      <c r="AV31" s="2">
        <v>0</v>
      </c>
      <c r="AW31" s="2">
        <v>0</v>
      </c>
      <c r="AX31" s="2">
        <v>8</v>
      </c>
      <c r="AY31" s="2">
        <v>0</v>
      </c>
      <c r="AZ31" s="2">
        <v>128</v>
      </c>
      <c r="BA31" s="2">
        <v>1</v>
      </c>
      <c r="BB31" s="2">
        <v>3</v>
      </c>
      <c r="BC31" s="11" t="s">
        <v>13</v>
      </c>
      <c r="BD31" s="11" t="s">
        <v>424</v>
      </c>
      <c r="BE31" s="11">
        <v>70840</v>
      </c>
      <c r="BF31" s="11" t="s">
        <v>400</v>
      </c>
      <c r="BG31" s="11">
        <v>29</v>
      </c>
      <c r="BH31" s="11">
        <v>463</v>
      </c>
      <c r="BI31" s="11">
        <v>118</v>
      </c>
      <c r="BJ31" s="11">
        <v>118</v>
      </c>
      <c r="BK31" s="11">
        <v>1</v>
      </c>
      <c r="BL31" s="11">
        <v>117</v>
      </c>
      <c r="BM31" s="11">
        <v>98</v>
      </c>
      <c r="BN31" s="11">
        <v>6</v>
      </c>
      <c r="BO31" s="11">
        <v>0</v>
      </c>
      <c r="BP31" s="11">
        <v>0</v>
      </c>
      <c r="BQ31" s="11">
        <v>2</v>
      </c>
      <c r="BR31" s="11">
        <v>0</v>
      </c>
      <c r="BS31" s="11">
        <v>9</v>
      </c>
      <c r="BT31" s="11">
        <v>0</v>
      </c>
      <c r="BU31" s="11">
        <v>0</v>
      </c>
      <c r="BV31" s="11">
        <v>0</v>
      </c>
      <c r="BW31" s="11">
        <v>0</v>
      </c>
      <c r="BX31" s="11">
        <v>1</v>
      </c>
      <c r="BY31" s="11">
        <v>0</v>
      </c>
      <c r="BZ31" s="11">
        <v>0</v>
      </c>
      <c r="CA31" s="11">
        <v>1</v>
      </c>
      <c r="CB31" s="11">
        <v>0</v>
      </c>
      <c r="CC31" s="11">
        <v>0</v>
      </c>
      <c r="CD31" s="11">
        <v>0</v>
      </c>
      <c r="CE31">
        <f t="shared" si="0"/>
        <v>104</v>
      </c>
      <c r="CF31">
        <f t="shared" si="1"/>
        <v>2</v>
      </c>
      <c r="CG31">
        <f t="shared" si="2"/>
        <v>10</v>
      </c>
      <c r="CH31">
        <f t="shared" si="3"/>
        <v>0</v>
      </c>
      <c r="CI31">
        <v>0</v>
      </c>
      <c r="CJ31" s="11">
        <v>463</v>
      </c>
      <c r="CK31" s="14">
        <v>0.25485961123110151</v>
      </c>
      <c r="CL31" s="14">
        <v>0.88135593220338981</v>
      </c>
      <c r="CM31" s="14">
        <v>1.6949152542372881E-2</v>
      </c>
      <c r="CN31" s="14">
        <v>9.3220338983050849E-2</v>
      </c>
      <c r="CO31" s="14">
        <v>0</v>
      </c>
      <c r="CP31" s="14">
        <v>0</v>
      </c>
      <c r="CQ31" s="30">
        <v>5</v>
      </c>
      <c r="CR31" s="15">
        <v>137</v>
      </c>
      <c r="CS31">
        <v>1</v>
      </c>
      <c r="CT31">
        <v>8</v>
      </c>
      <c r="CV31">
        <v>1</v>
      </c>
      <c r="CW31" s="14">
        <v>0.32894736842105265</v>
      </c>
      <c r="CX31" s="14">
        <v>0.91333333333333333</v>
      </c>
      <c r="CY31" s="14">
        <v>6.6666666666666671E-3</v>
      </c>
      <c r="CZ31" s="14">
        <v>5.3333333333333337E-2</v>
      </c>
      <c r="DA31" s="14">
        <v>0</v>
      </c>
      <c r="DB31" s="14">
        <v>6.6666666666666671E-3</v>
      </c>
      <c r="DC31" s="30">
        <v>5</v>
      </c>
      <c r="DD31" s="14" t="s">
        <v>474</v>
      </c>
      <c r="DE31" s="17" t="s">
        <v>437</v>
      </c>
      <c r="DF31" s="17" t="s">
        <v>437</v>
      </c>
      <c r="DG31" s="17" t="s">
        <v>453</v>
      </c>
      <c r="DH31" s="21">
        <v>153.63</v>
      </c>
      <c r="DI31" s="16">
        <v>463</v>
      </c>
      <c r="DJ31" s="16">
        <v>0</v>
      </c>
      <c r="DK31" s="16">
        <v>118</v>
      </c>
      <c r="DL31" s="23">
        <v>0.25485961123110151</v>
      </c>
      <c r="DM31" s="16">
        <v>1</v>
      </c>
      <c r="DN31">
        <v>5</v>
      </c>
      <c r="DO31" s="25"/>
      <c r="DP31" s="25"/>
      <c r="DQ31" s="25"/>
      <c r="DR31" s="26"/>
      <c r="DS31" s="26"/>
    </row>
    <row r="32" spans="1:123" ht="14.25" customHeight="1">
      <c r="A32" s="2">
        <v>4881</v>
      </c>
      <c r="B32" s="3" t="s">
        <v>42</v>
      </c>
      <c r="C32" s="3" t="s">
        <v>44</v>
      </c>
      <c r="D32" s="4">
        <v>30</v>
      </c>
      <c r="E32" s="3" t="s">
        <v>17</v>
      </c>
      <c r="F32" s="3" t="s">
        <v>38</v>
      </c>
      <c r="G32" s="4" t="s">
        <v>113</v>
      </c>
      <c r="H32" s="4" t="b">
        <v>1</v>
      </c>
      <c r="I32" s="4" t="b">
        <v>1</v>
      </c>
      <c r="J32" s="5" t="s">
        <v>113</v>
      </c>
      <c r="K32" s="5" t="s">
        <v>44</v>
      </c>
      <c r="L32" s="5" t="s">
        <v>17</v>
      </c>
      <c r="M32" s="5" t="s">
        <v>38</v>
      </c>
      <c r="N32" s="2" t="s">
        <v>13</v>
      </c>
      <c r="O32" s="2" t="s">
        <v>399</v>
      </c>
      <c r="P32" s="2">
        <v>70840</v>
      </c>
      <c r="Q32" s="2" t="s">
        <v>400</v>
      </c>
      <c r="R32" s="2">
        <v>500</v>
      </c>
      <c r="S32" s="2">
        <v>205</v>
      </c>
      <c r="T32" s="2">
        <v>205</v>
      </c>
      <c r="U32" s="2">
        <v>6</v>
      </c>
      <c r="V32" s="2">
        <v>199</v>
      </c>
      <c r="W32" s="2">
        <v>161</v>
      </c>
      <c r="X32" s="2">
        <v>25</v>
      </c>
      <c r="Y32" s="2">
        <v>0</v>
      </c>
      <c r="Z32" s="2">
        <v>2</v>
      </c>
      <c r="AA32" s="2">
        <v>4</v>
      </c>
      <c r="AB32" s="2">
        <v>1</v>
      </c>
      <c r="AC32" s="2">
        <v>1</v>
      </c>
      <c r="AD32" s="2">
        <v>0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  <c r="AJ32" s="2">
        <v>2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500</v>
      </c>
      <c r="AQ32" s="2">
        <v>205</v>
      </c>
      <c r="AR32" s="2">
        <v>204</v>
      </c>
      <c r="AS32" s="2">
        <v>3</v>
      </c>
      <c r="AT32" s="2">
        <v>201</v>
      </c>
      <c r="AU32" s="2">
        <v>3</v>
      </c>
      <c r="AV32" s="2">
        <v>3</v>
      </c>
      <c r="AW32" s="2">
        <v>1</v>
      </c>
      <c r="AX32" s="2">
        <v>4</v>
      </c>
      <c r="AY32" s="2">
        <v>1</v>
      </c>
      <c r="AZ32" s="2">
        <v>186</v>
      </c>
      <c r="BA32" s="2">
        <v>2</v>
      </c>
      <c r="BB32" s="2">
        <v>1</v>
      </c>
      <c r="BC32" s="11" t="s">
        <v>13</v>
      </c>
      <c r="BD32" s="11" t="s">
        <v>424</v>
      </c>
      <c r="BE32" s="11">
        <v>70840</v>
      </c>
      <c r="BF32" s="11" t="s">
        <v>400</v>
      </c>
      <c r="BG32" s="11">
        <v>30</v>
      </c>
      <c r="BH32" s="11">
        <v>498</v>
      </c>
      <c r="BI32" s="11">
        <v>193</v>
      </c>
      <c r="BJ32" s="11">
        <v>193</v>
      </c>
      <c r="BK32" s="11">
        <v>6</v>
      </c>
      <c r="BL32" s="11">
        <v>187</v>
      </c>
      <c r="BM32" s="11">
        <v>164</v>
      </c>
      <c r="BN32" s="11">
        <v>7</v>
      </c>
      <c r="BO32" s="11">
        <v>0</v>
      </c>
      <c r="BP32" s="11">
        <v>2</v>
      </c>
      <c r="BQ32" s="11">
        <v>2</v>
      </c>
      <c r="BR32" s="11">
        <v>0</v>
      </c>
      <c r="BS32" s="11">
        <v>11</v>
      </c>
      <c r="BT32" s="11">
        <v>0</v>
      </c>
      <c r="BU32" s="11">
        <v>1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>
        <f t="shared" si="0"/>
        <v>171</v>
      </c>
      <c r="CF32">
        <f t="shared" si="1"/>
        <v>4</v>
      </c>
      <c r="CG32">
        <f t="shared" si="2"/>
        <v>11</v>
      </c>
      <c r="CH32">
        <f t="shared" si="3"/>
        <v>0</v>
      </c>
      <c r="CI32">
        <v>1</v>
      </c>
      <c r="CJ32" s="11">
        <v>498</v>
      </c>
      <c r="CK32" s="14">
        <v>0.38755020080321284</v>
      </c>
      <c r="CL32" s="14">
        <v>0.88601036269430056</v>
      </c>
      <c r="CM32" s="14">
        <v>2.072538860103627E-2</v>
      </c>
      <c r="CN32" s="14">
        <v>5.6994818652849742E-2</v>
      </c>
      <c r="CO32" s="14">
        <v>0</v>
      </c>
      <c r="CP32" s="14">
        <v>5.1813471502590676E-3</v>
      </c>
      <c r="CQ32" s="30">
        <v>5</v>
      </c>
      <c r="CR32" s="15">
        <v>188</v>
      </c>
      <c r="CS32">
        <v>3</v>
      </c>
      <c r="CT32">
        <v>8</v>
      </c>
      <c r="CV32">
        <v>0</v>
      </c>
      <c r="CW32" s="14">
        <v>0.41</v>
      </c>
      <c r="CX32" s="14">
        <v>0.91707317073170735</v>
      </c>
      <c r="CY32" s="14">
        <v>1.4634146341463415E-2</v>
      </c>
      <c r="CZ32" s="14">
        <v>3.9024390243902439E-2</v>
      </c>
      <c r="DA32" s="14">
        <v>0</v>
      </c>
      <c r="DB32" s="14">
        <v>0</v>
      </c>
      <c r="DC32" s="30">
        <v>5</v>
      </c>
      <c r="DD32" s="14" t="s">
        <v>474</v>
      </c>
      <c r="DE32" s="17" t="s">
        <v>437</v>
      </c>
      <c r="DF32" s="17" t="s">
        <v>437</v>
      </c>
      <c r="DG32" s="17" t="s">
        <v>453</v>
      </c>
      <c r="DH32" s="21">
        <v>140.53</v>
      </c>
      <c r="DI32" s="16">
        <v>498</v>
      </c>
      <c r="DJ32" s="16">
        <v>0</v>
      </c>
      <c r="DK32" s="16">
        <v>193</v>
      </c>
      <c r="DL32" s="23">
        <v>0.38755020080321284</v>
      </c>
      <c r="DM32" s="16">
        <v>1</v>
      </c>
      <c r="DN32">
        <v>5</v>
      </c>
      <c r="DO32" s="25"/>
      <c r="DP32" s="25"/>
      <c r="DQ32" s="25"/>
      <c r="DR32" s="26"/>
      <c r="DS32" s="26"/>
    </row>
    <row r="33" spans="1:123" ht="14.25" customHeight="1">
      <c r="A33" s="2">
        <v>4882</v>
      </c>
      <c r="B33" s="3" t="s">
        <v>42</v>
      </c>
      <c r="C33" s="3" t="s">
        <v>44</v>
      </c>
      <c r="D33" s="4">
        <v>31</v>
      </c>
      <c r="E33" s="3" t="s">
        <v>114</v>
      </c>
      <c r="F33" s="3" t="s">
        <v>115</v>
      </c>
      <c r="G33" s="4" t="s">
        <v>116</v>
      </c>
      <c r="H33" s="4" t="b">
        <v>1</v>
      </c>
      <c r="I33" s="4" t="b">
        <v>1</v>
      </c>
      <c r="J33" s="5" t="s">
        <v>116</v>
      </c>
      <c r="K33" s="5" t="s">
        <v>44</v>
      </c>
      <c r="L33" s="5" t="s">
        <v>114</v>
      </c>
      <c r="M33" s="5" t="s">
        <v>115</v>
      </c>
      <c r="N33" s="2" t="s">
        <v>13</v>
      </c>
      <c r="O33" s="2" t="s">
        <v>399</v>
      </c>
      <c r="P33" s="2">
        <v>70840</v>
      </c>
      <c r="Q33" s="2" t="s">
        <v>400</v>
      </c>
      <c r="R33" s="2">
        <v>491</v>
      </c>
      <c r="S33" s="2">
        <v>165</v>
      </c>
      <c r="T33" s="2">
        <v>165</v>
      </c>
      <c r="U33" s="2">
        <v>0</v>
      </c>
      <c r="V33" s="2">
        <v>165</v>
      </c>
      <c r="W33" s="2">
        <v>103</v>
      </c>
      <c r="X33" s="2">
        <v>30</v>
      </c>
      <c r="Y33" s="2">
        <v>0</v>
      </c>
      <c r="Z33" s="2">
        <v>7</v>
      </c>
      <c r="AA33" s="2">
        <v>8</v>
      </c>
      <c r="AB33" s="2">
        <v>4</v>
      </c>
      <c r="AC33" s="2">
        <v>7</v>
      </c>
      <c r="AD33" s="2">
        <v>1</v>
      </c>
      <c r="AE33" s="2">
        <v>0</v>
      </c>
      <c r="AF33" s="2">
        <v>0</v>
      </c>
      <c r="AG33" s="2">
        <v>5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491</v>
      </c>
      <c r="AQ33" s="2">
        <v>165</v>
      </c>
      <c r="AR33" s="2">
        <v>165</v>
      </c>
      <c r="AS33" s="2">
        <v>5</v>
      </c>
      <c r="AT33" s="2">
        <v>160</v>
      </c>
      <c r="AU33" s="2">
        <v>2</v>
      </c>
      <c r="AV33" s="2">
        <v>1</v>
      </c>
      <c r="AW33" s="2">
        <v>1</v>
      </c>
      <c r="AX33" s="2">
        <v>9</v>
      </c>
      <c r="AY33" s="2">
        <v>5</v>
      </c>
      <c r="AZ33" s="2">
        <v>134</v>
      </c>
      <c r="BA33" s="2">
        <v>4</v>
      </c>
      <c r="BB33" s="2">
        <v>4</v>
      </c>
      <c r="BC33" s="11" t="s">
        <v>13</v>
      </c>
      <c r="BD33" s="11" t="s">
        <v>424</v>
      </c>
      <c r="BE33" s="11">
        <v>70840</v>
      </c>
      <c r="BF33" s="11" t="s">
        <v>400</v>
      </c>
      <c r="BG33" s="11">
        <v>31</v>
      </c>
      <c r="BH33" s="11">
        <v>483</v>
      </c>
      <c r="BI33" s="11">
        <v>247</v>
      </c>
      <c r="BJ33" s="11">
        <v>246</v>
      </c>
      <c r="BK33" s="11">
        <v>4</v>
      </c>
      <c r="BL33" s="11">
        <v>242</v>
      </c>
      <c r="BM33" s="11">
        <v>206</v>
      </c>
      <c r="BN33" s="11">
        <v>13</v>
      </c>
      <c r="BO33" s="11">
        <v>3</v>
      </c>
      <c r="BP33" s="11">
        <v>5</v>
      </c>
      <c r="BQ33" s="11">
        <v>1</v>
      </c>
      <c r="BR33" s="11">
        <v>0</v>
      </c>
      <c r="BS33" s="11">
        <v>11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2</v>
      </c>
      <c r="CA33" s="11">
        <v>0</v>
      </c>
      <c r="CB33" s="11">
        <v>0</v>
      </c>
      <c r="CC33" s="11">
        <v>1</v>
      </c>
      <c r="CD33" s="11">
        <v>0</v>
      </c>
      <c r="CE33">
        <f t="shared" si="0"/>
        <v>222</v>
      </c>
      <c r="CF33">
        <f t="shared" si="1"/>
        <v>6</v>
      </c>
      <c r="CG33">
        <f t="shared" si="2"/>
        <v>11</v>
      </c>
      <c r="CH33">
        <f t="shared" si="3"/>
        <v>2</v>
      </c>
      <c r="CI33">
        <v>0</v>
      </c>
      <c r="CJ33" s="11">
        <v>483</v>
      </c>
      <c r="CK33" s="14">
        <v>0.51138716356107661</v>
      </c>
      <c r="CL33" s="14">
        <v>0.89878542510121462</v>
      </c>
      <c r="CM33" s="14">
        <v>2.4291497975708502E-2</v>
      </c>
      <c r="CN33" s="14">
        <v>4.8582995951417005E-2</v>
      </c>
      <c r="CO33" s="14">
        <v>8.0971659919028341E-3</v>
      </c>
      <c r="CP33" s="14">
        <v>0</v>
      </c>
      <c r="CQ33" s="30">
        <v>6</v>
      </c>
      <c r="CR33" s="15">
        <v>140</v>
      </c>
      <c r="CS33">
        <v>16</v>
      </c>
      <c r="CT33">
        <v>8</v>
      </c>
      <c r="CV33">
        <v>1</v>
      </c>
      <c r="CW33" s="14">
        <v>0.33604887983706722</v>
      </c>
      <c r="CX33" s="14">
        <v>0.84848484848484851</v>
      </c>
      <c r="CY33" s="14">
        <v>9.696969696969697E-2</v>
      </c>
      <c r="CZ33" s="14">
        <v>4.8484848484848485E-2</v>
      </c>
      <c r="DA33" s="14">
        <v>0</v>
      </c>
      <c r="DB33" s="14">
        <v>6.0606060606060606E-3</v>
      </c>
      <c r="DC33" s="30">
        <v>5</v>
      </c>
      <c r="DD33" s="14" t="s">
        <v>472</v>
      </c>
      <c r="DE33" s="17" t="s">
        <v>438</v>
      </c>
      <c r="DF33" s="17" t="s">
        <v>437</v>
      </c>
      <c r="DG33" s="17" t="s">
        <v>445</v>
      </c>
      <c r="DH33" s="21">
        <v>118.38000000000001</v>
      </c>
      <c r="DI33" s="16">
        <v>483</v>
      </c>
      <c r="DJ33" s="16">
        <v>0</v>
      </c>
      <c r="DK33" s="16">
        <v>246</v>
      </c>
      <c r="DL33" s="23">
        <v>0.50931677018633537</v>
      </c>
      <c r="DM33" s="16">
        <v>1</v>
      </c>
      <c r="DN33">
        <v>6</v>
      </c>
      <c r="DO33" s="25"/>
      <c r="DP33" s="25"/>
      <c r="DQ33" s="25"/>
      <c r="DR33" s="26"/>
      <c r="DS33" s="26"/>
    </row>
    <row r="34" spans="1:123" ht="14.25" customHeight="1">
      <c r="A34" s="2">
        <v>4883</v>
      </c>
      <c r="B34" s="3" t="s">
        <v>42</v>
      </c>
      <c r="C34" s="3" t="s">
        <v>44</v>
      </c>
      <c r="D34" s="4">
        <v>32</v>
      </c>
      <c r="E34" s="3" t="s">
        <v>117</v>
      </c>
      <c r="F34" s="3" t="s">
        <v>115</v>
      </c>
      <c r="G34" s="4" t="s">
        <v>118</v>
      </c>
      <c r="H34" s="4" t="b">
        <v>1</v>
      </c>
      <c r="I34" s="4" t="b">
        <v>1</v>
      </c>
      <c r="J34" s="5" t="s">
        <v>118</v>
      </c>
      <c r="K34" s="5" t="s">
        <v>44</v>
      </c>
      <c r="L34" s="5" t="s">
        <v>117</v>
      </c>
      <c r="M34" s="5" t="s">
        <v>115</v>
      </c>
      <c r="N34" s="2" t="s">
        <v>13</v>
      </c>
      <c r="O34" s="2" t="s">
        <v>399</v>
      </c>
      <c r="P34" s="2">
        <v>70840</v>
      </c>
      <c r="Q34" s="2" t="s">
        <v>400</v>
      </c>
      <c r="R34" s="2">
        <v>519</v>
      </c>
      <c r="S34" s="2">
        <v>186</v>
      </c>
      <c r="T34" s="2">
        <v>186</v>
      </c>
      <c r="U34" s="2">
        <v>15</v>
      </c>
      <c r="V34" s="2">
        <v>171</v>
      </c>
      <c r="W34" s="2">
        <v>126</v>
      </c>
      <c r="X34" s="2">
        <v>22</v>
      </c>
      <c r="Y34" s="2">
        <v>0</v>
      </c>
      <c r="Z34" s="2">
        <v>5</v>
      </c>
      <c r="AA34" s="2">
        <v>3</v>
      </c>
      <c r="AB34" s="2">
        <v>1</v>
      </c>
      <c r="AC34" s="2">
        <v>10</v>
      </c>
      <c r="AD34" s="2">
        <v>0</v>
      </c>
      <c r="AE34" s="2">
        <v>0</v>
      </c>
      <c r="AF34" s="2">
        <v>0</v>
      </c>
      <c r="AG34" s="2">
        <v>1</v>
      </c>
      <c r="AH34" s="2">
        <v>0</v>
      </c>
      <c r="AI34" s="2">
        <v>0</v>
      </c>
      <c r="AJ34" s="2">
        <v>3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519</v>
      </c>
      <c r="AQ34" s="2">
        <v>186</v>
      </c>
      <c r="AR34" s="2">
        <v>186</v>
      </c>
      <c r="AS34" s="2">
        <v>4</v>
      </c>
      <c r="AT34" s="2">
        <v>182</v>
      </c>
      <c r="AU34" s="2">
        <v>4</v>
      </c>
      <c r="AV34" s="2">
        <v>0</v>
      </c>
      <c r="AW34" s="2">
        <v>0</v>
      </c>
      <c r="AX34" s="2">
        <v>5</v>
      </c>
      <c r="AY34" s="2">
        <v>12</v>
      </c>
      <c r="AZ34" s="2">
        <v>157</v>
      </c>
      <c r="BA34" s="2">
        <v>3</v>
      </c>
      <c r="BB34" s="2">
        <v>1</v>
      </c>
      <c r="BC34" s="11" t="s">
        <v>13</v>
      </c>
      <c r="BD34" s="11" t="s">
        <v>424</v>
      </c>
      <c r="BE34" s="11">
        <v>70840</v>
      </c>
      <c r="BF34" s="11" t="s">
        <v>400</v>
      </c>
      <c r="BG34" s="11">
        <v>32</v>
      </c>
      <c r="BH34" s="11">
        <v>515</v>
      </c>
      <c r="BI34" s="11">
        <v>186</v>
      </c>
      <c r="BJ34" s="11">
        <v>186</v>
      </c>
      <c r="BK34" s="11">
        <v>6</v>
      </c>
      <c r="BL34" s="11">
        <v>180</v>
      </c>
      <c r="BM34" s="11">
        <v>140</v>
      </c>
      <c r="BN34" s="11">
        <v>21</v>
      </c>
      <c r="BO34" s="11">
        <v>0</v>
      </c>
      <c r="BP34" s="11">
        <v>3</v>
      </c>
      <c r="BQ34" s="11">
        <v>4</v>
      </c>
      <c r="BR34" s="11">
        <v>0</v>
      </c>
      <c r="BS34" s="11">
        <v>10</v>
      </c>
      <c r="BT34" s="11">
        <v>0</v>
      </c>
      <c r="BU34" s="11">
        <v>0</v>
      </c>
      <c r="BV34" s="11">
        <v>0</v>
      </c>
      <c r="BW34" s="11">
        <v>0</v>
      </c>
      <c r="BX34" s="11">
        <v>1</v>
      </c>
      <c r="BY34" s="11">
        <v>0</v>
      </c>
      <c r="BZ34" s="11">
        <v>1</v>
      </c>
      <c r="CA34" s="11">
        <v>0</v>
      </c>
      <c r="CB34" s="11">
        <v>0</v>
      </c>
      <c r="CC34" s="11">
        <v>0</v>
      </c>
      <c r="CD34" s="11">
        <v>0</v>
      </c>
      <c r="CE34">
        <f t="shared" si="0"/>
        <v>161</v>
      </c>
      <c r="CF34">
        <f t="shared" si="1"/>
        <v>7</v>
      </c>
      <c r="CG34">
        <f t="shared" si="2"/>
        <v>11</v>
      </c>
      <c r="CH34">
        <f t="shared" si="3"/>
        <v>1</v>
      </c>
      <c r="CI34">
        <v>0</v>
      </c>
      <c r="CJ34" s="11">
        <v>515</v>
      </c>
      <c r="CK34" s="14">
        <v>0.3611650485436893</v>
      </c>
      <c r="CL34" s="14">
        <v>0.86559139784946237</v>
      </c>
      <c r="CM34" s="14">
        <v>3.7634408602150539E-2</v>
      </c>
      <c r="CN34" s="14">
        <v>5.9139784946236562E-2</v>
      </c>
      <c r="CO34" s="14">
        <v>5.3763440860215058E-3</v>
      </c>
      <c r="CP34" s="14">
        <v>0</v>
      </c>
      <c r="CQ34" s="30">
        <v>5</v>
      </c>
      <c r="CR34" s="15">
        <v>153</v>
      </c>
      <c r="CS34">
        <v>12</v>
      </c>
      <c r="CT34">
        <v>6</v>
      </c>
      <c r="CV34">
        <v>0</v>
      </c>
      <c r="CW34" s="14">
        <v>0.3583815028901734</v>
      </c>
      <c r="CX34" s="14">
        <v>0.82258064516129037</v>
      </c>
      <c r="CY34" s="14">
        <v>6.4516129032258063E-2</v>
      </c>
      <c r="CZ34" s="14">
        <v>3.2258064516129031E-2</v>
      </c>
      <c r="DA34" s="14">
        <v>0</v>
      </c>
      <c r="DB34" s="14">
        <v>0</v>
      </c>
      <c r="DC34" s="30">
        <v>5</v>
      </c>
      <c r="DD34" s="14" t="s">
        <v>474</v>
      </c>
      <c r="DE34" s="17" t="s">
        <v>437</v>
      </c>
      <c r="DF34" s="17" t="s">
        <v>437</v>
      </c>
      <c r="DG34" s="17" t="s">
        <v>453</v>
      </c>
      <c r="DH34" s="21">
        <v>155.11000000000001</v>
      </c>
      <c r="DI34" s="16">
        <v>515</v>
      </c>
      <c r="DJ34" s="16">
        <v>0</v>
      </c>
      <c r="DK34" s="16">
        <v>186</v>
      </c>
      <c r="DL34" s="23">
        <v>0.3611650485436893</v>
      </c>
      <c r="DM34" s="16">
        <v>1</v>
      </c>
      <c r="DN34">
        <v>5</v>
      </c>
      <c r="DO34" s="25"/>
      <c r="DP34" s="25"/>
      <c r="DQ34" s="25"/>
      <c r="DR34" s="26"/>
      <c r="DS34" s="26"/>
    </row>
    <row r="35" spans="1:123" ht="14.25" customHeight="1">
      <c r="A35" s="2">
        <v>4884</v>
      </c>
      <c r="B35" s="3" t="s">
        <v>42</v>
      </c>
      <c r="C35" s="3" t="s">
        <v>44</v>
      </c>
      <c r="D35" s="4">
        <v>33</v>
      </c>
      <c r="E35" s="3" t="s">
        <v>119</v>
      </c>
      <c r="F35" s="3" t="s">
        <v>115</v>
      </c>
      <c r="G35" s="4" t="s">
        <v>120</v>
      </c>
      <c r="H35" s="4" t="b">
        <v>1</v>
      </c>
      <c r="I35" s="4" t="b">
        <v>1</v>
      </c>
      <c r="J35" s="5" t="s">
        <v>120</v>
      </c>
      <c r="K35" s="5" t="s">
        <v>44</v>
      </c>
      <c r="L35" s="5" t="s">
        <v>119</v>
      </c>
      <c r="M35" s="5" t="s">
        <v>115</v>
      </c>
      <c r="N35" s="2" t="s">
        <v>13</v>
      </c>
      <c r="O35" s="2" t="s">
        <v>399</v>
      </c>
      <c r="P35" s="2">
        <v>70840</v>
      </c>
      <c r="Q35" s="2" t="s">
        <v>400</v>
      </c>
      <c r="R35" s="2">
        <v>515</v>
      </c>
      <c r="S35" s="2">
        <v>251</v>
      </c>
      <c r="T35" s="2">
        <v>251</v>
      </c>
      <c r="U35" s="2">
        <v>4</v>
      </c>
      <c r="V35" s="2">
        <v>247</v>
      </c>
      <c r="W35" s="2">
        <v>195</v>
      </c>
      <c r="X35" s="2">
        <v>31</v>
      </c>
      <c r="Y35" s="2">
        <v>0</v>
      </c>
      <c r="Z35" s="2">
        <v>3</v>
      </c>
      <c r="AA35" s="2">
        <v>4</v>
      </c>
      <c r="AB35" s="2">
        <v>5</v>
      </c>
      <c r="AC35" s="2">
        <v>3</v>
      </c>
      <c r="AD35" s="2">
        <v>0</v>
      </c>
      <c r="AE35" s="2">
        <v>2</v>
      </c>
      <c r="AF35" s="2">
        <v>0</v>
      </c>
      <c r="AG35" s="2">
        <v>3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515</v>
      </c>
      <c r="AQ35" s="2">
        <v>251</v>
      </c>
      <c r="AR35" s="2">
        <v>251</v>
      </c>
      <c r="AS35" s="2">
        <v>1</v>
      </c>
      <c r="AT35" s="2">
        <v>250</v>
      </c>
      <c r="AU35" s="2">
        <v>5</v>
      </c>
      <c r="AV35" s="2">
        <v>1</v>
      </c>
      <c r="AW35" s="2">
        <v>2</v>
      </c>
      <c r="AX35" s="2">
        <v>3</v>
      </c>
      <c r="AY35" s="2">
        <v>6</v>
      </c>
      <c r="AZ35" s="2">
        <v>229</v>
      </c>
      <c r="BA35" s="2">
        <v>1</v>
      </c>
      <c r="BB35" s="2">
        <v>3</v>
      </c>
      <c r="BC35" s="11" t="s">
        <v>13</v>
      </c>
      <c r="BD35" s="11" t="s">
        <v>424</v>
      </c>
      <c r="BE35" s="11">
        <v>70840</v>
      </c>
      <c r="BF35" s="11" t="s">
        <v>400</v>
      </c>
      <c r="BG35" s="11">
        <v>33</v>
      </c>
      <c r="BH35" s="11">
        <v>487</v>
      </c>
      <c r="BI35" s="11">
        <v>437</v>
      </c>
      <c r="BJ35" s="11">
        <v>437</v>
      </c>
      <c r="BK35" s="11">
        <v>5</v>
      </c>
      <c r="BL35" s="11">
        <v>432</v>
      </c>
      <c r="BM35" s="11">
        <v>336</v>
      </c>
      <c r="BN35" s="11">
        <v>32</v>
      </c>
      <c r="BO35" s="11">
        <v>0</v>
      </c>
      <c r="BP35" s="11">
        <v>4</v>
      </c>
      <c r="BQ35" s="11">
        <v>51</v>
      </c>
      <c r="BR35" s="11">
        <v>0</v>
      </c>
      <c r="BS35" s="11">
        <v>5</v>
      </c>
      <c r="BT35" s="11">
        <v>0</v>
      </c>
      <c r="BU35" s="11">
        <v>0</v>
      </c>
      <c r="BV35" s="11">
        <v>0</v>
      </c>
      <c r="BW35" s="11">
        <v>0</v>
      </c>
      <c r="BX35" s="11">
        <v>1</v>
      </c>
      <c r="BY35" s="11">
        <v>0</v>
      </c>
      <c r="BZ35" s="11">
        <v>3</v>
      </c>
      <c r="CA35" s="11">
        <v>0</v>
      </c>
      <c r="CB35" s="11">
        <v>0</v>
      </c>
      <c r="CC35" s="11">
        <v>0</v>
      </c>
      <c r="CD35" s="11">
        <v>0</v>
      </c>
      <c r="CE35">
        <f t="shared" si="0"/>
        <v>368</v>
      </c>
      <c r="CF35">
        <f t="shared" si="1"/>
        <v>55</v>
      </c>
      <c r="CG35">
        <f t="shared" si="2"/>
        <v>6</v>
      </c>
      <c r="CH35">
        <f t="shared" si="3"/>
        <v>3</v>
      </c>
      <c r="CI35">
        <v>0</v>
      </c>
      <c r="CJ35" s="11">
        <v>487</v>
      </c>
      <c r="CK35" s="14">
        <v>0.89733059548254623</v>
      </c>
      <c r="CL35" s="14">
        <v>0.84210526315789469</v>
      </c>
      <c r="CM35" s="14">
        <v>0.12585812356979406</v>
      </c>
      <c r="CN35" s="14">
        <v>1.3729977116704805E-2</v>
      </c>
      <c r="CO35" s="14">
        <v>6.8649885583524023E-3</v>
      </c>
      <c r="CP35" s="14">
        <v>0</v>
      </c>
      <c r="CQ35" s="30">
        <v>3</v>
      </c>
      <c r="CR35" s="15">
        <v>229</v>
      </c>
      <c r="CS35">
        <v>11</v>
      </c>
      <c r="CT35">
        <v>7</v>
      </c>
      <c r="CV35">
        <v>0</v>
      </c>
      <c r="CW35" s="14">
        <v>0.48737864077669901</v>
      </c>
      <c r="CX35" s="14">
        <v>0.91235059760956172</v>
      </c>
      <c r="CY35" s="14">
        <v>4.3824701195219126E-2</v>
      </c>
      <c r="CZ35" s="14">
        <v>2.7888446215139442E-2</v>
      </c>
      <c r="DA35" s="14">
        <v>0</v>
      </c>
      <c r="DB35" s="14">
        <v>0</v>
      </c>
      <c r="DC35" s="30">
        <v>5</v>
      </c>
      <c r="DD35" s="14" t="s">
        <v>484</v>
      </c>
      <c r="DE35" s="17" t="s">
        <v>435</v>
      </c>
      <c r="DF35" s="17" t="s">
        <v>437</v>
      </c>
      <c r="DG35" s="17" t="s">
        <v>460</v>
      </c>
      <c r="DH35" s="21">
        <v>83.920000000000016</v>
      </c>
      <c r="DI35" s="16">
        <v>487</v>
      </c>
      <c r="DJ35" s="16">
        <v>0</v>
      </c>
      <c r="DK35" s="16">
        <v>437</v>
      </c>
      <c r="DL35" s="23">
        <v>0.89733059548254623</v>
      </c>
      <c r="DM35" s="16">
        <v>1</v>
      </c>
      <c r="DN35">
        <v>4</v>
      </c>
      <c r="DO35" s="25"/>
      <c r="DP35" s="25"/>
      <c r="DQ35" s="25"/>
      <c r="DR35" s="26"/>
      <c r="DS35" s="26"/>
    </row>
    <row r="36" spans="1:123" ht="14.25" customHeight="1">
      <c r="A36" s="2">
        <v>4885</v>
      </c>
      <c r="B36" s="3" t="s">
        <v>42</v>
      </c>
      <c r="C36" s="3" t="s">
        <v>44</v>
      </c>
      <c r="D36" s="4">
        <v>34</v>
      </c>
      <c r="E36" s="3" t="s">
        <v>17</v>
      </c>
      <c r="F36" s="3" t="s">
        <v>121</v>
      </c>
      <c r="G36" s="4" t="s">
        <v>122</v>
      </c>
      <c r="H36" s="4" t="b">
        <v>1</v>
      </c>
      <c r="I36" s="4" t="b">
        <v>1</v>
      </c>
      <c r="J36" s="5" t="s">
        <v>122</v>
      </c>
      <c r="K36" s="5" t="s">
        <v>44</v>
      </c>
      <c r="L36" s="5" t="s">
        <v>17</v>
      </c>
      <c r="M36" s="5" t="s">
        <v>121</v>
      </c>
      <c r="N36" s="2" t="s">
        <v>13</v>
      </c>
      <c r="O36" s="2" t="s">
        <v>399</v>
      </c>
      <c r="P36" s="2">
        <v>70840</v>
      </c>
      <c r="Q36" s="2" t="s">
        <v>400</v>
      </c>
      <c r="R36" s="2">
        <v>397</v>
      </c>
      <c r="S36" s="2">
        <v>214</v>
      </c>
      <c r="T36" s="2">
        <v>214</v>
      </c>
      <c r="U36" s="2">
        <v>4</v>
      </c>
      <c r="V36" s="2">
        <v>210</v>
      </c>
      <c r="W36" s="2">
        <v>118</v>
      </c>
      <c r="X36" s="2">
        <v>39</v>
      </c>
      <c r="Y36" s="2">
        <v>0</v>
      </c>
      <c r="Z36" s="2">
        <v>2</v>
      </c>
      <c r="AA36" s="2">
        <v>27</v>
      </c>
      <c r="AB36" s="2">
        <v>5</v>
      </c>
      <c r="AC36" s="2">
        <v>7</v>
      </c>
      <c r="AD36" s="2">
        <v>1</v>
      </c>
      <c r="AE36" s="2">
        <v>0</v>
      </c>
      <c r="AF36" s="2">
        <v>1</v>
      </c>
      <c r="AG36" s="2">
        <v>9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397</v>
      </c>
      <c r="AQ36" s="2">
        <v>214</v>
      </c>
      <c r="AR36" s="2">
        <v>214</v>
      </c>
      <c r="AS36" s="2">
        <v>3</v>
      </c>
      <c r="AT36" s="2">
        <v>211</v>
      </c>
      <c r="AU36" s="2">
        <v>4</v>
      </c>
      <c r="AV36" s="2">
        <v>2</v>
      </c>
      <c r="AW36" s="2">
        <v>0</v>
      </c>
      <c r="AX36" s="2">
        <v>19</v>
      </c>
      <c r="AY36" s="2">
        <v>10</v>
      </c>
      <c r="AZ36" s="2">
        <v>156</v>
      </c>
      <c r="BA36" s="2">
        <v>7</v>
      </c>
      <c r="BB36" s="2">
        <v>13</v>
      </c>
      <c r="BC36" s="11" t="s">
        <v>13</v>
      </c>
      <c r="BD36" s="11" t="s">
        <v>424</v>
      </c>
      <c r="BE36" s="11">
        <v>70840</v>
      </c>
      <c r="BF36" s="11" t="s">
        <v>400</v>
      </c>
      <c r="BG36" s="11">
        <v>34</v>
      </c>
      <c r="BH36" s="11">
        <v>379</v>
      </c>
      <c r="BI36" s="11">
        <v>202</v>
      </c>
      <c r="BJ36" s="11">
        <v>202</v>
      </c>
      <c r="BK36" s="11">
        <v>8</v>
      </c>
      <c r="BL36" s="11">
        <v>194</v>
      </c>
      <c r="BM36" s="11">
        <v>140</v>
      </c>
      <c r="BN36" s="11">
        <v>6</v>
      </c>
      <c r="BO36" s="11">
        <v>1</v>
      </c>
      <c r="BP36" s="11">
        <v>5</v>
      </c>
      <c r="BQ36" s="11">
        <v>5</v>
      </c>
      <c r="BR36" s="11">
        <v>0</v>
      </c>
      <c r="BS36" s="11">
        <v>28</v>
      </c>
      <c r="BT36" s="11">
        <v>0</v>
      </c>
      <c r="BU36" s="11">
        <v>0</v>
      </c>
      <c r="BV36" s="11">
        <v>1</v>
      </c>
      <c r="BW36" s="11">
        <v>1</v>
      </c>
      <c r="BX36" s="11">
        <v>3</v>
      </c>
      <c r="BY36" s="11">
        <v>0</v>
      </c>
      <c r="BZ36" s="11">
        <v>4</v>
      </c>
      <c r="CA36" s="11">
        <v>0</v>
      </c>
      <c r="CB36" s="11">
        <v>0</v>
      </c>
      <c r="CC36" s="11">
        <v>0</v>
      </c>
      <c r="CD36" s="11">
        <v>0</v>
      </c>
      <c r="CE36">
        <f t="shared" si="0"/>
        <v>147</v>
      </c>
      <c r="CF36">
        <f t="shared" si="1"/>
        <v>10</v>
      </c>
      <c r="CG36">
        <f t="shared" si="2"/>
        <v>32</v>
      </c>
      <c r="CH36">
        <f t="shared" si="3"/>
        <v>4</v>
      </c>
      <c r="CI36">
        <v>1</v>
      </c>
      <c r="CJ36" s="11">
        <v>379</v>
      </c>
      <c r="CK36" s="14">
        <v>0.53298153034300788</v>
      </c>
      <c r="CL36" s="14">
        <v>0.7277227722772277</v>
      </c>
      <c r="CM36" s="14">
        <v>5.4455445544554455E-2</v>
      </c>
      <c r="CN36" s="14">
        <v>0.15346534653465346</v>
      </c>
      <c r="CO36" s="14">
        <v>1.9801980198019802E-2</v>
      </c>
      <c r="CP36" s="14">
        <v>4.9504950495049506E-3</v>
      </c>
      <c r="CQ36" s="30">
        <v>6</v>
      </c>
      <c r="CR36" s="15">
        <v>159</v>
      </c>
      <c r="CS36">
        <v>22</v>
      </c>
      <c r="CT36">
        <v>28</v>
      </c>
      <c r="CV36">
        <v>1</v>
      </c>
      <c r="CW36" s="14">
        <v>0.53904282115869018</v>
      </c>
      <c r="CX36" s="14">
        <v>0.7429906542056075</v>
      </c>
      <c r="CY36" s="14">
        <v>0.10280373831775701</v>
      </c>
      <c r="CZ36" s="14">
        <v>0.13084112149532709</v>
      </c>
      <c r="DA36" s="14">
        <v>0</v>
      </c>
      <c r="DB36" s="14">
        <v>4.6728971962616819E-3</v>
      </c>
      <c r="DC36" s="30">
        <v>6</v>
      </c>
      <c r="DD36" s="14" t="s">
        <v>482</v>
      </c>
      <c r="DE36" s="17" t="s">
        <v>438</v>
      </c>
      <c r="DF36" s="17" t="s">
        <v>438</v>
      </c>
      <c r="DG36" s="17" t="s">
        <v>451</v>
      </c>
      <c r="DH36" s="21">
        <v>113.49</v>
      </c>
      <c r="DI36" s="16">
        <v>379</v>
      </c>
      <c r="DJ36" s="16">
        <v>0</v>
      </c>
      <c r="DK36" s="16">
        <v>202</v>
      </c>
      <c r="DL36" s="23">
        <v>0.53298153034300788</v>
      </c>
      <c r="DM36" s="16">
        <v>1</v>
      </c>
      <c r="DN36">
        <v>6</v>
      </c>
      <c r="DO36" s="25"/>
      <c r="DP36" s="25"/>
      <c r="DQ36" s="25"/>
      <c r="DR36" s="26"/>
      <c r="DS36" s="26"/>
    </row>
    <row r="37" spans="1:123" ht="14.25" customHeight="1">
      <c r="A37" s="2">
        <v>4886</v>
      </c>
      <c r="B37" s="3" t="s">
        <v>42</v>
      </c>
      <c r="C37" s="3" t="s">
        <v>44</v>
      </c>
      <c r="D37" s="4">
        <v>35</v>
      </c>
      <c r="E37" s="3" t="s">
        <v>12</v>
      </c>
      <c r="F37" s="3" t="s">
        <v>123</v>
      </c>
      <c r="G37" s="4" t="s">
        <v>124</v>
      </c>
      <c r="H37" s="4" t="b">
        <v>1</v>
      </c>
      <c r="I37" s="4" t="b">
        <v>1</v>
      </c>
      <c r="J37" s="5" t="s">
        <v>124</v>
      </c>
      <c r="K37" s="5" t="s">
        <v>44</v>
      </c>
      <c r="L37" s="5" t="s">
        <v>12</v>
      </c>
      <c r="M37" s="5" t="s">
        <v>123</v>
      </c>
      <c r="N37" s="2" t="s">
        <v>13</v>
      </c>
      <c r="O37" s="2" t="s">
        <v>399</v>
      </c>
      <c r="P37" s="2">
        <v>70840</v>
      </c>
      <c r="Q37" s="2" t="s">
        <v>400</v>
      </c>
      <c r="R37" s="2">
        <v>273</v>
      </c>
      <c r="S37" s="2">
        <v>189</v>
      </c>
      <c r="T37" s="2">
        <v>189</v>
      </c>
      <c r="U37" s="2">
        <v>7</v>
      </c>
      <c r="V37" s="2">
        <v>182</v>
      </c>
      <c r="W37" s="2">
        <v>101</v>
      </c>
      <c r="X37" s="2">
        <v>43</v>
      </c>
      <c r="Y37" s="2">
        <v>0</v>
      </c>
      <c r="Z37" s="2">
        <v>2</v>
      </c>
      <c r="AA37" s="2">
        <v>13</v>
      </c>
      <c r="AB37" s="2">
        <v>6</v>
      </c>
      <c r="AC37" s="2">
        <v>2</v>
      </c>
      <c r="AD37" s="2">
        <v>0</v>
      </c>
      <c r="AE37" s="2">
        <v>2</v>
      </c>
      <c r="AF37" s="2">
        <v>4</v>
      </c>
      <c r="AG37" s="2">
        <v>5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273</v>
      </c>
      <c r="AQ37" s="2">
        <v>189</v>
      </c>
      <c r="AR37" s="2">
        <v>189</v>
      </c>
      <c r="AS37" s="2">
        <v>3</v>
      </c>
      <c r="AT37" s="2">
        <v>186</v>
      </c>
      <c r="AU37" s="2">
        <v>7</v>
      </c>
      <c r="AV37" s="2">
        <v>4</v>
      </c>
      <c r="AW37" s="2">
        <v>2</v>
      </c>
      <c r="AX37" s="2">
        <v>17</v>
      </c>
      <c r="AY37" s="2">
        <v>3</v>
      </c>
      <c r="AZ37" s="2">
        <v>139</v>
      </c>
      <c r="BA37" s="2">
        <v>6</v>
      </c>
      <c r="BB37" s="2">
        <v>8</v>
      </c>
      <c r="BC37" s="11" t="s">
        <v>13</v>
      </c>
      <c r="BD37" s="11" t="s">
        <v>424</v>
      </c>
      <c r="BE37" s="11">
        <v>70840</v>
      </c>
      <c r="BF37" s="11" t="s">
        <v>400</v>
      </c>
      <c r="BG37" s="11">
        <v>35</v>
      </c>
      <c r="BH37" s="11">
        <v>268</v>
      </c>
      <c r="BI37" s="11">
        <v>180</v>
      </c>
      <c r="BJ37" s="11">
        <v>180</v>
      </c>
      <c r="BK37" s="11">
        <v>2</v>
      </c>
      <c r="BL37" s="11">
        <v>178</v>
      </c>
      <c r="BM37" s="11">
        <v>103</v>
      </c>
      <c r="BN37" s="11">
        <v>36</v>
      </c>
      <c r="BO37" s="11">
        <v>4</v>
      </c>
      <c r="BP37" s="11">
        <v>1</v>
      </c>
      <c r="BQ37" s="11">
        <v>4</v>
      </c>
      <c r="BR37" s="11">
        <v>0</v>
      </c>
      <c r="BS37" s="11">
        <v>23</v>
      </c>
      <c r="BT37" s="11">
        <v>0</v>
      </c>
      <c r="BU37" s="11">
        <v>0</v>
      </c>
      <c r="BV37" s="11">
        <v>0</v>
      </c>
      <c r="BW37" s="11">
        <v>0</v>
      </c>
      <c r="BX37" s="11">
        <v>3</v>
      </c>
      <c r="BY37" s="11">
        <v>0</v>
      </c>
      <c r="BZ37" s="11">
        <v>3</v>
      </c>
      <c r="CA37" s="11">
        <v>0</v>
      </c>
      <c r="CB37" s="11">
        <v>1</v>
      </c>
      <c r="CC37" s="11">
        <v>0</v>
      </c>
      <c r="CD37" s="11">
        <v>0</v>
      </c>
      <c r="CE37">
        <f t="shared" si="0"/>
        <v>143</v>
      </c>
      <c r="CF37">
        <f t="shared" si="1"/>
        <v>5</v>
      </c>
      <c r="CG37">
        <f t="shared" si="2"/>
        <v>26</v>
      </c>
      <c r="CH37">
        <f t="shared" si="3"/>
        <v>3</v>
      </c>
      <c r="CI37">
        <v>1</v>
      </c>
      <c r="CJ37" s="11">
        <v>268</v>
      </c>
      <c r="CK37" s="14">
        <v>0.67164179104477617</v>
      </c>
      <c r="CL37" s="14">
        <v>0.7944444444444444</v>
      </c>
      <c r="CM37" s="14">
        <v>2.7777777777777776E-2</v>
      </c>
      <c r="CN37" s="14">
        <v>0.14444444444444443</v>
      </c>
      <c r="CO37" s="14">
        <v>1.6666666666666666E-2</v>
      </c>
      <c r="CP37" s="14">
        <v>5.5555555555555558E-3</v>
      </c>
      <c r="CQ37" s="30">
        <v>8</v>
      </c>
      <c r="CR37" s="15">
        <v>146</v>
      </c>
      <c r="CS37">
        <v>17</v>
      </c>
      <c r="CT37">
        <v>19</v>
      </c>
      <c r="CV37">
        <v>0</v>
      </c>
      <c r="CW37" s="14">
        <v>0.69230769230769229</v>
      </c>
      <c r="CX37" s="14">
        <v>0.77248677248677244</v>
      </c>
      <c r="CY37" s="14">
        <v>8.9947089947089942E-2</v>
      </c>
      <c r="CZ37" s="14">
        <v>0.10052910052910052</v>
      </c>
      <c r="DA37" s="14">
        <v>0</v>
      </c>
      <c r="DB37" s="14">
        <v>0</v>
      </c>
      <c r="DC37" s="30">
        <v>8</v>
      </c>
      <c r="DD37" s="14" t="s">
        <v>488</v>
      </c>
      <c r="DE37" s="17" t="s">
        <v>439</v>
      </c>
      <c r="DF37" s="17" t="s">
        <v>439</v>
      </c>
      <c r="DG37" s="17" t="s">
        <v>442</v>
      </c>
      <c r="DH37" s="21">
        <v>75.05</v>
      </c>
      <c r="DI37" s="16">
        <v>268</v>
      </c>
      <c r="DJ37" s="16">
        <v>0</v>
      </c>
      <c r="DK37" s="16">
        <v>180</v>
      </c>
      <c r="DL37" s="23">
        <v>0.67164179104477617</v>
      </c>
      <c r="DM37" s="16">
        <v>0</v>
      </c>
      <c r="DN37">
        <v>0</v>
      </c>
      <c r="DO37" s="25"/>
      <c r="DP37" s="25"/>
      <c r="DQ37" s="25"/>
      <c r="DR37" s="26"/>
      <c r="DS37" s="26"/>
    </row>
    <row r="38" spans="1:123" ht="14.25" customHeight="1">
      <c r="A38" s="2">
        <v>4887</v>
      </c>
      <c r="B38" s="3" t="s">
        <v>42</v>
      </c>
      <c r="C38" s="3" t="s">
        <v>44</v>
      </c>
      <c r="D38" s="4">
        <v>36</v>
      </c>
      <c r="E38" s="3" t="s">
        <v>125</v>
      </c>
      <c r="F38" s="3" t="s">
        <v>126</v>
      </c>
      <c r="G38" s="4" t="s">
        <v>127</v>
      </c>
      <c r="H38" s="4" t="b">
        <v>1</v>
      </c>
      <c r="I38" s="4" t="b">
        <v>1</v>
      </c>
      <c r="J38" s="5" t="s">
        <v>127</v>
      </c>
      <c r="K38" s="5" t="s">
        <v>44</v>
      </c>
      <c r="L38" s="5" t="s">
        <v>125</v>
      </c>
      <c r="M38" s="5" t="s">
        <v>126</v>
      </c>
      <c r="N38" s="2" t="s">
        <v>13</v>
      </c>
      <c r="O38" s="2" t="s">
        <v>399</v>
      </c>
      <c r="P38" s="2">
        <v>70840</v>
      </c>
      <c r="Q38" s="2" t="s">
        <v>400</v>
      </c>
      <c r="R38" s="2">
        <v>437</v>
      </c>
      <c r="S38" s="2">
        <v>137</v>
      </c>
      <c r="T38" s="2">
        <v>137</v>
      </c>
      <c r="U38" s="2">
        <v>9</v>
      </c>
      <c r="V38" s="2">
        <v>128</v>
      </c>
      <c r="W38" s="2">
        <v>82</v>
      </c>
      <c r="X38" s="2">
        <v>24</v>
      </c>
      <c r="Y38" s="2">
        <v>0</v>
      </c>
      <c r="Z38" s="2">
        <v>1</v>
      </c>
      <c r="AA38" s="2">
        <v>12</v>
      </c>
      <c r="AB38" s="2">
        <v>1</v>
      </c>
      <c r="AC38" s="2">
        <v>2</v>
      </c>
      <c r="AD38" s="2">
        <v>0</v>
      </c>
      <c r="AE38" s="2">
        <v>1</v>
      </c>
      <c r="AF38" s="2">
        <v>0</v>
      </c>
      <c r="AG38" s="2">
        <v>4</v>
      </c>
      <c r="AH38" s="2">
        <v>0</v>
      </c>
      <c r="AI38" s="2">
        <v>0</v>
      </c>
      <c r="AJ38" s="2">
        <v>1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437</v>
      </c>
      <c r="AQ38" s="2">
        <v>137</v>
      </c>
      <c r="AR38" s="2">
        <v>137</v>
      </c>
      <c r="AS38" s="2">
        <v>2</v>
      </c>
      <c r="AT38" s="2">
        <v>135</v>
      </c>
      <c r="AU38" s="2">
        <v>4</v>
      </c>
      <c r="AV38" s="2">
        <v>2</v>
      </c>
      <c r="AW38" s="2">
        <v>4</v>
      </c>
      <c r="AX38" s="2">
        <v>13</v>
      </c>
      <c r="AY38" s="2">
        <v>1</v>
      </c>
      <c r="AZ38" s="2">
        <v>107</v>
      </c>
      <c r="BA38" s="2">
        <v>0</v>
      </c>
      <c r="BB38" s="2">
        <v>4</v>
      </c>
      <c r="BC38" s="11" t="s">
        <v>13</v>
      </c>
      <c r="BD38" s="11" t="s">
        <v>424</v>
      </c>
      <c r="BE38" s="11">
        <v>70840</v>
      </c>
      <c r="BF38" s="11" t="s">
        <v>400</v>
      </c>
      <c r="BG38" s="11">
        <v>36</v>
      </c>
      <c r="BH38" s="11">
        <v>400</v>
      </c>
      <c r="BI38" s="11">
        <v>102</v>
      </c>
      <c r="BJ38" s="11">
        <v>102</v>
      </c>
      <c r="BK38" s="11">
        <v>2</v>
      </c>
      <c r="BL38" s="11">
        <v>100</v>
      </c>
      <c r="BM38" s="11">
        <v>77</v>
      </c>
      <c r="BN38" s="11">
        <v>14</v>
      </c>
      <c r="BO38" s="11">
        <v>1</v>
      </c>
      <c r="BP38" s="11">
        <v>0</v>
      </c>
      <c r="BQ38" s="11">
        <v>0</v>
      </c>
      <c r="BR38" s="11">
        <v>0</v>
      </c>
      <c r="BS38" s="11">
        <v>8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>
        <f t="shared" si="0"/>
        <v>92</v>
      </c>
      <c r="CF38">
        <f t="shared" si="1"/>
        <v>0</v>
      </c>
      <c r="CG38">
        <f t="shared" si="2"/>
        <v>8</v>
      </c>
      <c r="CH38">
        <f t="shared" si="3"/>
        <v>0</v>
      </c>
      <c r="CI38">
        <v>0</v>
      </c>
      <c r="CJ38" s="11">
        <v>400</v>
      </c>
      <c r="CK38" s="14">
        <v>0.255</v>
      </c>
      <c r="CL38" s="14">
        <v>0.90196078431372551</v>
      </c>
      <c r="CM38" s="14">
        <v>0</v>
      </c>
      <c r="CN38" s="14">
        <v>7.8431372549019607E-2</v>
      </c>
      <c r="CO38" s="14">
        <v>0</v>
      </c>
      <c r="CP38" s="14">
        <v>0</v>
      </c>
      <c r="CQ38" s="30">
        <v>5</v>
      </c>
      <c r="CR38" s="15">
        <v>107</v>
      </c>
      <c r="CS38">
        <v>7</v>
      </c>
      <c r="CT38">
        <v>14</v>
      </c>
      <c r="CV38">
        <v>0</v>
      </c>
      <c r="CW38" s="14">
        <v>0.31350114416475972</v>
      </c>
      <c r="CX38" s="14">
        <v>0.78102189781021902</v>
      </c>
      <c r="CY38" s="14">
        <v>5.1094890510948905E-2</v>
      </c>
      <c r="CZ38" s="14">
        <v>0.10218978102189781</v>
      </c>
      <c r="DA38" s="14">
        <v>0</v>
      </c>
      <c r="DB38" s="14">
        <v>0</v>
      </c>
      <c r="DC38" s="30">
        <v>5</v>
      </c>
      <c r="DD38" s="14" t="s">
        <v>474</v>
      </c>
      <c r="DE38" s="17" t="s">
        <v>437</v>
      </c>
      <c r="DF38" s="17" t="s">
        <v>437</v>
      </c>
      <c r="DG38" s="17" t="s">
        <v>453</v>
      </c>
      <c r="DH38" s="21">
        <v>131.74</v>
      </c>
      <c r="DI38" s="16">
        <v>400</v>
      </c>
      <c r="DJ38" s="16">
        <v>0</v>
      </c>
      <c r="DK38" s="16">
        <v>102</v>
      </c>
      <c r="DL38" s="23">
        <v>0.255</v>
      </c>
      <c r="DM38" s="16">
        <v>1</v>
      </c>
      <c r="DN38">
        <v>5</v>
      </c>
      <c r="DO38" s="25"/>
      <c r="DP38" s="25"/>
      <c r="DQ38" s="25"/>
      <c r="DR38" s="26"/>
      <c r="DS38" s="26"/>
    </row>
    <row r="39" spans="1:123" ht="14.25" customHeight="1">
      <c r="A39" s="2">
        <v>4888</v>
      </c>
      <c r="B39" s="3" t="s">
        <v>42</v>
      </c>
      <c r="C39" s="3" t="s">
        <v>44</v>
      </c>
      <c r="D39" s="4">
        <v>37</v>
      </c>
      <c r="E39" s="3" t="s">
        <v>128</v>
      </c>
      <c r="F39" s="3" t="s">
        <v>126</v>
      </c>
      <c r="G39" s="4" t="s">
        <v>129</v>
      </c>
      <c r="H39" s="4" t="b">
        <v>1</v>
      </c>
      <c r="I39" s="4" t="b">
        <v>1</v>
      </c>
      <c r="J39" s="5" t="s">
        <v>129</v>
      </c>
      <c r="K39" s="5" t="s">
        <v>44</v>
      </c>
      <c r="L39" s="5" t="s">
        <v>128</v>
      </c>
      <c r="M39" s="5" t="s">
        <v>126</v>
      </c>
      <c r="N39" s="2" t="s">
        <v>13</v>
      </c>
      <c r="O39" s="2" t="s">
        <v>399</v>
      </c>
      <c r="P39" s="2">
        <v>70840</v>
      </c>
      <c r="Q39" s="2" t="s">
        <v>400</v>
      </c>
      <c r="R39" s="2">
        <v>495</v>
      </c>
      <c r="S39" s="2">
        <v>173</v>
      </c>
      <c r="T39" s="2">
        <v>173</v>
      </c>
      <c r="U39" s="2">
        <v>7</v>
      </c>
      <c r="V39" s="2">
        <v>166</v>
      </c>
      <c r="W39" s="2">
        <v>84</v>
      </c>
      <c r="X39" s="2">
        <v>39</v>
      </c>
      <c r="Y39" s="2">
        <v>1</v>
      </c>
      <c r="Z39" s="2">
        <v>2</v>
      </c>
      <c r="AA39" s="2">
        <v>11</v>
      </c>
      <c r="AB39" s="2">
        <v>2</v>
      </c>
      <c r="AC39" s="2">
        <v>12</v>
      </c>
      <c r="AD39" s="2">
        <v>0</v>
      </c>
      <c r="AE39" s="2">
        <v>2</v>
      </c>
      <c r="AF39" s="2">
        <v>0</v>
      </c>
      <c r="AG39" s="2">
        <v>10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2</v>
      </c>
      <c r="AP39" s="2">
        <v>495</v>
      </c>
      <c r="AQ39" s="2">
        <v>173</v>
      </c>
      <c r="AR39" s="2">
        <v>173</v>
      </c>
      <c r="AS39" s="2">
        <v>3</v>
      </c>
      <c r="AT39" s="2">
        <v>170</v>
      </c>
      <c r="AU39" s="2">
        <v>7</v>
      </c>
      <c r="AV39" s="2">
        <v>4</v>
      </c>
      <c r="AW39" s="2">
        <v>2</v>
      </c>
      <c r="AX39" s="2">
        <v>15</v>
      </c>
      <c r="AY39" s="2">
        <v>6</v>
      </c>
      <c r="AZ39" s="2">
        <v>122</v>
      </c>
      <c r="BA39" s="2">
        <v>4</v>
      </c>
      <c r="BB39" s="2">
        <v>10</v>
      </c>
      <c r="BC39" s="11" t="s">
        <v>13</v>
      </c>
      <c r="BD39" s="11" t="s">
        <v>424</v>
      </c>
      <c r="BE39" s="11">
        <v>70840</v>
      </c>
      <c r="BF39" s="11" t="s">
        <v>400</v>
      </c>
      <c r="BG39" s="11">
        <v>37</v>
      </c>
      <c r="BH39" s="11">
        <v>473</v>
      </c>
      <c r="BI39" s="11">
        <v>143</v>
      </c>
      <c r="BJ39" s="11">
        <v>143</v>
      </c>
      <c r="BK39" s="11">
        <v>6</v>
      </c>
      <c r="BL39" s="11">
        <v>137</v>
      </c>
      <c r="BM39" s="11">
        <v>99</v>
      </c>
      <c r="BN39" s="11">
        <v>13</v>
      </c>
      <c r="BO39" s="11">
        <v>2</v>
      </c>
      <c r="BP39" s="11">
        <v>8</v>
      </c>
      <c r="BQ39" s="11">
        <v>4</v>
      </c>
      <c r="BR39" s="11">
        <v>1</v>
      </c>
      <c r="BS39" s="11">
        <v>8</v>
      </c>
      <c r="BT39" s="11">
        <v>0</v>
      </c>
      <c r="BU39" s="11">
        <v>0</v>
      </c>
      <c r="BV39" s="11">
        <v>1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1</v>
      </c>
      <c r="CC39" s="11">
        <v>0</v>
      </c>
      <c r="CD39" s="11">
        <v>0</v>
      </c>
      <c r="CE39">
        <f t="shared" si="0"/>
        <v>114</v>
      </c>
      <c r="CF39">
        <f t="shared" si="1"/>
        <v>12</v>
      </c>
      <c r="CG39">
        <f t="shared" si="2"/>
        <v>8</v>
      </c>
      <c r="CH39">
        <f t="shared" si="3"/>
        <v>0</v>
      </c>
      <c r="CI39">
        <v>3</v>
      </c>
      <c r="CJ39" s="11">
        <v>473</v>
      </c>
      <c r="CK39" s="14">
        <v>0.30232558139534882</v>
      </c>
      <c r="CL39" s="14">
        <v>0.79720279720279719</v>
      </c>
      <c r="CM39" s="14">
        <v>8.3916083916083919E-2</v>
      </c>
      <c r="CN39" s="14">
        <v>5.5944055944055944E-2</v>
      </c>
      <c r="CO39" s="14">
        <v>0</v>
      </c>
      <c r="CP39" s="14">
        <v>2.097902097902098E-2</v>
      </c>
      <c r="CQ39" s="30">
        <v>5</v>
      </c>
      <c r="CR39" s="15">
        <v>125</v>
      </c>
      <c r="CS39">
        <v>24</v>
      </c>
      <c r="CT39">
        <v>14</v>
      </c>
      <c r="CV39">
        <v>3</v>
      </c>
      <c r="CW39" s="14">
        <v>0.34949494949494947</v>
      </c>
      <c r="CX39" s="14">
        <v>0.7225433526011561</v>
      </c>
      <c r="CY39" s="14">
        <v>0.13872832369942195</v>
      </c>
      <c r="CZ39" s="14">
        <v>8.0924855491329481E-2</v>
      </c>
      <c r="DA39" s="14">
        <v>0</v>
      </c>
      <c r="DB39" s="14">
        <v>1.7341040462427744E-2</v>
      </c>
      <c r="DC39" s="30">
        <v>5</v>
      </c>
      <c r="DD39" s="14" t="s">
        <v>474</v>
      </c>
      <c r="DE39" s="17" t="s">
        <v>437</v>
      </c>
      <c r="DF39" s="17" t="s">
        <v>437</v>
      </c>
      <c r="DG39" s="17" t="s">
        <v>453</v>
      </c>
      <c r="DH39" s="21">
        <v>151.17000000000002</v>
      </c>
      <c r="DI39" s="16">
        <v>473</v>
      </c>
      <c r="DJ39" s="16">
        <v>0</v>
      </c>
      <c r="DK39" s="16">
        <v>143</v>
      </c>
      <c r="DL39" s="23">
        <v>0.30232558139534882</v>
      </c>
      <c r="DM39" s="16">
        <v>1</v>
      </c>
      <c r="DN39">
        <v>5</v>
      </c>
      <c r="DO39" s="25"/>
      <c r="DP39" s="25"/>
      <c r="DQ39" s="25"/>
      <c r="DR39" s="26"/>
      <c r="DS39" s="26"/>
    </row>
    <row r="40" spans="1:123" ht="14.25" customHeight="1">
      <c r="A40" s="2">
        <v>4889</v>
      </c>
      <c r="B40" s="3" t="s">
        <v>42</v>
      </c>
      <c r="C40" s="3" t="s">
        <v>44</v>
      </c>
      <c r="D40" s="4">
        <v>38</v>
      </c>
      <c r="E40" s="3" t="s">
        <v>130</v>
      </c>
      <c r="F40" s="3" t="s">
        <v>126</v>
      </c>
      <c r="G40" s="4" t="s">
        <v>131</v>
      </c>
      <c r="H40" s="4" t="b">
        <v>1</v>
      </c>
      <c r="I40" s="4" t="b">
        <v>1</v>
      </c>
      <c r="J40" s="5" t="s">
        <v>131</v>
      </c>
      <c r="K40" s="5" t="s">
        <v>44</v>
      </c>
      <c r="L40" s="5" t="s">
        <v>130</v>
      </c>
      <c r="M40" s="5" t="s">
        <v>126</v>
      </c>
      <c r="N40" s="2" t="s">
        <v>13</v>
      </c>
      <c r="O40" s="2" t="s">
        <v>399</v>
      </c>
      <c r="P40" s="2">
        <v>70840</v>
      </c>
      <c r="Q40" s="2" t="s">
        <v>400</v>
      </c>
      <c r="R40" s="2">
        <v>557</v>
      </c>
      <c r="S40" s="2">
        <v>191</v>
      </c>
      <c r="T40" s="2">
        <v>191</v>
      </c>
      <c r="U40" s="2">
        <v>13</v>
      </c>
      <c r="V40" s="2">
        <v>178</v>
      </c>
      <c r="W40" s="2">
        <v>113</v>
      </c>
      <c r="X40" s="2">
        <v>34</v>
      </c>
      <c r="Y40" s="2">
        <v>1</v>
      </c>
      <c r="Z40" s="2">
        <v>1</v>
      </c>
      <c r="AA40" s="2">
        <v>15</v>
      </c>
      <c r="AB40" s="2">
        <v>6</v>
      </c>
      <c r="AC40" s="2">
        <v>4</v>
      </c>
      <c r="AD40" s="2">
        <v>0</v>
      </c>
      <c r="AE40" s="2">
        <v>0</v>
      </c>
      <c r="AF40" s="2">
        <v>1</v>
      </c>
      <c r="AG40" s="2">
        <v>1</v>
      </c>
      <c r="AH40" s="2">
        <v>0</v>
      </c>
      <c r="AI40" s="2">
        <v>0</v>
      </c>
      <c r="AJ40" s="2">
        <v>1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557</v>
      </c>
      <c r="AQ40" s="2">
        <v>191</v>
      </c>
      <c r="AR40" s="2">
        <v>191</v>
      </c>
      <c r="AS40" s="2">
        <v>7</v>
      </c>
      <c r="AT40" s="2">
        <v>184</v>
      </c>
      <c r="AU40" s="2">
        <v>1</v>
      </c>
      <c r="AV40" s="2">
        <v>1</v>
      </c>
      <c r="AW40" s="2">
        <v>1</v>
      </c>
      <c r="AX40" s="2">
        <v>18</v>
      </c>
      <c r="AY40" s="2">
        <v>5</v>
      </c>
      <c r="AZ40" s="2">
        <v>151</v>
      </c>
      <c r="BA40" s="2">
        <v>6</v>
      </c>
      <c r="BB40" s="2">
        <v>1</v>
      </c>
      <c r="BC40" s="11" t="s">
        <v>13</v>
      </c>
      <c r="BD40" s="11" t="s">
        <v>424</v>
      </c>
      <c r="BE40" s="11">
        <v>70840</v>
      </c>
      <c r="BF40" s="11" t="s">
        <v>400</v>
      </c>
      <c r="BG40" s="11">
        <v>38</v>
      </c>
      <c r="BH40" s="11">
        <v>600</v>
      </c>
      <c r="BI40" s="11">
        <v>189</v>
      </c>
      <c r="BJ40" s="11">
        <v>189</v>
      </c>
      <c r="BK40" s="11">
        <v>6</v>
      </c>
      <c r="BL40" s="11">
        <v>183</v>
      </c>
      <c r="BM40" s="11">
        <v>129</v>
      </c>
      <c r="BN40" s="11">
        <v>16</v>
      </c>
      <c r="BO40" s="11">
        <v>1</v>
      </c>
      <c r="BP40" s="11">
        <v>3</v>
      </c>
      <c r="BQ40" s="11">
        <v>4</v>
      </c>
      <c r="BR40" s="11">
        <v>0</v>
      </c>
      <c r="BS40" s="11">
        <v>23</v>
      </c>
      <c r="BT40" s="11">
        <v>0</v>
      </c>
      <c r="BU40" s="11">
        <v>0</v>
      </c>
      <c r="BV40" s="11">
        <v>0</v>
      </c>
      <c r="BW40" s="11">
        <v>1</v>
      </c>
      <c r="BX40" s="11">
        <v>3</v>
      </c>
      <c r="BY40" s="11">
        <v>0</v>
      </c>
      <c r="BZ40" s="11">
        <v>2</v>
      </c>
      <c r="CA40" s="11">
        <v>0</v>
      </c>
      <c r="CB40" s="11">
        <v>0</v>
      </c>
      <c r="CC40" s="11">
        <v>0</v>
      </c>
      <c r="CD40" s="11">
        <v>1</v>
      </c>
      <c r="CE40">
        <f t="shared" si="0"/>
        <v>146</v>
      </c>
      <c r="CF40">
        <f t="shared" si="1"/>
        <v>7</v>
      </c>
      <c r="CG40">
        <f t="shared" si="2"/>
        <v>27</v>
      </c>
      <c r="CH40">
        <f t="shared" si="3"/>
        <v>2</v>
      </c>
      <c r="CI40">
        <v>1</v>
      </c>
      <c r="CJ40" s="11">
        <v>600</v>
      </c>
      <c r="CK40" s="14">
        <v>0.315</v>
      </c>
      <c r="CL40" s="14">
        <v>0.77248677248677244</v>
      </c>
      <c r="CM40" s="14">
        <v>4.2328042328042326E-2</v>
      </c>
      <c r="CN40" s="14">
        <v>0.13756613756613756</v>
      </c>
      <c r="CO40" s="14">
        <v>1.0582010582010581E-2</v>
      </c>
      <c r="CP40" s="14">
        <v>5.2910052910052907E-3</v>
      </c>
      <c r="CQ40" s="30">
        <v>5</v>
      </c>
      <c r="CR40" s="15">
        <v>148</v>
      </c>
      <c r="CS40">
        <v>12</v>
      </c>
      <c r="CT40">
        <v>16</v>
      </c>
      <c r="CV40">
        <v>2</v>
      </c>
      <c r="CW40" s="14">
        <v>0.34290843806104127</v>
      </c>
      <c r="CX40" s="14">
        <v>0.77486910994764402</v>
      </c>
      <c r="CY40" s="14">
        <v>6.2827225130890049E-2</v>
      </c>
      <c r="CZ40" s="14">
        <v>8.3769633507853408E-2</v>
      </c>
      <c r="DA40" s="14">
        <v>0</v>
      </c>
      <c r="DB40" s="14">
        <v>1.0471204188481676E-2</v>
      </c>
      <c r="DC40" s="30">
        <v>5</v>
      </c>
      <c r="DD40" s="14" t="s">
        <v>474</v>
      </c>
      <c r="DE40" s="17" t="s">
        <v>437</v>
      </c>
      <c r="DF40" s="17" t="s">
        <v>437</v>
      </c>
      <c r="DG40" s="17" t="s">
        <v>453</v>
      </c>
      <c r="DH40" s="21">
        <v>201.59</v>
      </c>
      <c r="DI40" s="16">
        <v>600</v>
      </c>
      <c r="DJ40" s="16">
        <v>0</v>
      </c>
      <c r="DK40" s="16">
        <v>189</v>
      </c>
      <c r="DL40" s="23">
        <v>0.315</v>
      </c>
      <c r="DM40" s="16">
        <v>1</v>
      </c>
      <c r="DN40">
        <v>5</v>
      </c>
      <c r="DO40" s="25"/>
      <c r="DP40" s="25"/>
      <c r="DQ40" s="25"/>
      <c r="DR40" s="26"/>
      <c r="DS40" s="26"/>
    </row>
    <row r="41" spans="1:123" ht="14.25" customHeight="1">
      <c r="A41" s="2">
        <v>4890</v>
      </c>
      <c r="B41" s="3" t="s">
        <v>42</v>
      </c>
      <c r="C41" s="3" t="s">
        <v>44</v>
      </c>
      <c r="D41" s="4">
        <v>39</v>
      </c>
      <c r="E41" s="3" t="s">
        <v>132</v>
      </c>
      <c r="F41" s="3" t="s">
        <v>133</v>
      </c>
      <c r="G41" s="4" t="s">
        <v>134</v>
      </c>
      <c r="H41" s="4" t="b">
        <v>1</v>
      </c>
      <c r="I41" s="4" t="b">
        <v>1</v>
      </c>
      <c r="J41" s="5" t="s">
        <v>134</v>
      </c>
      <c r="K41" s="5" t="s">
        <v>44</v>
      </c>
      <c r="L41" s="5" t="s">
        <v>132</v>
      </c>
      <c r="M41" s="5" t="s">
        <v>133</v>
      </c>
      <c r="N41" s="2" t="s">
        <v>13</v>
      </c>
      <c r="O41" s="2" t="s">
        <v>399</v>
      </c>
      <c r="P41" s="2">
        <v>70840</v>
      </c>
      <c r="Q41" s="2" t="s">
        <v>400</v>
      </c>
      <c r="R41" s="2">
        <v>301</v>
      </c>
      <c r="S41" s="2">
        <v>129</v>
      </c>
      <c r="T41" s="2">
        <v>129</v>
      </c>
      <c r="U41" s="2">
        <v>2</v>
      </c>
      <c r="V41" s="2">
        <v>127</v>
      </c>
      <c r="W41" s="2">
        <v>90</v>
      </c>
      <c r="X41" s="2">
        <v>10</v>
      </c>
      <c r="Y41" s="2">
        <v>0</v>
      </c>
      <c r="Z41" s="2">
        <v>1</v>
      </c>
      <c r="AA41" s="2">
        <v>12</v>
      </c>
      <c r="AB41" s="2">
        <v>4</v>
      </c>
      <c r="AC41" s="2">
        <v>3</v>
      </c>
      <c r="AD41" s="2">
        <v>0</v>
      </c>
      <c r="AE41" s="2">
        <v>1</v>
      </c>
      <c r="AF41" s="2">
        <v>0</v>
      </c>
      <c r="AG41" s="2">
        <v>3</v>
      </c>
      <c r="AH41" s="2">
        <v>0</v>
      </c>
      <c r="AI41" s="2">
        <v>0</v>
      </c>
      <c r="AJ41" s="2">
        <v>2</v>
      </c>
      <c r="AK41" s="2">
        <v>1</v>
      </c>
      <c r="AL41" s="2">
        <v>0</v>
      </c>
      <c r="AM41" s="2">
        <v>0</v>
      </c>
      <c r="AN41" s="2">
        <v>0</v>
      </c>
      <c r="AO41" s="2">
        <v>0</v>
      </c>
      <c r="AP41" s="2">
        <v>301</v>
      </c>
      <c r="AQ41" s="2">
        <v>129</v>
      </c>
      <c r="AR41" s="2">
        <v>129</v>
      </c>
      <c r="AS41" s="2">
        <v>1</v>
      </c>
      <c r="AT41" s="2">
        <v>128</v>
      </c>
      <c r="AU41" s="2">
        <v>3</v>
      </c>
      <c r="AV41" s="2">
        <v>1</v>
      </c>
      <c r="AW41" s="2">
        <v>2</v>
      </c>
      <c r="AX41" s="2">
        <v>10</v>
      </c>
      <c r="AY41" s="2">
        <v>2</v>
      </c>
      <c r="AZ41" s="2">
        <v>103</v>
      </c>
      <c r="BA41" s="2">
        <v>0</v>
      </c>
      <c r="BB41" s="2">
        <v>7</v>
      </c>
      <c r="BC41" s="11" t="s">
        <v>13</v>
      </c>
      <c r="BD41" s="11" t="s">
        <v>424</v>
      </c>
      <c r="BE41" s="11">
        <v>70840</v>
      </c>
      <c r="BF41" s="11" t="s">
        <v>400</v>
      </c>
      <c r="BG41" s="11">
        <v>39</v>
      </c>
      <c r="BH41" s="11">
        <v>288</v>
      </c>
      <c r="BI41" s="11">
        <v>125</v>
      </c>
      <c r="BJ41" s="11">
        <v>125</v>
      </c>
      <c r="BK41" s="11">
        <v>1</v>
      </c>
      <c r="BL41" s="11">
        <v>124</v>
      </c>
      <c r="BM41" s="11">
        <v>93</v>
      </c>
      <c r="BN41" s="11">
        <v>7</v>
      </c>
      <c r="BO41" s="11">
        <v>0</v>
      </c>
      <c r="BP41" s="11">
        <v>7</v>
      </c>
      <c r="BQ41" s="11">
        <v>0</v>
      </c>
      <c r="BR41" s="11">
        <v>0</v>
      </c>
      <c r="BS41" s="11">
        <v>11</v>
      </c>
      <c r="BT41" s="11">
        <v>0</v>
      </c>
      <c r="BU41" s="11">
        <v>0</v>
      </c>
      <c r="BV41" s="11">
        <v>0</v>
      </c>
      <c r="BW41" s="11">
        <v>0</v>
      </c>
      <c r="BX41" s="11">
        <v>1</v>
      </c>
      <c r="BY41" s="11">
        <v>0</v>
      </c>
      <c r="BZ41" s="11">
        <v>3</v>
      </c>
      <c r="CA41" s="11">
        <v>0</v>
      </c>
      <c r="CB41" s="11">
        <v>0</v>
      </c>
      <c r="CC41" s="11">
        <v>0</v>
      </c>
      <c r="CD41" s="11">
        <v>2</v>
      </c>
      <c r="CE41">
        <f t="shared" si="0"/>
        <v>100</v>
      </c>
      <c r="CF41">
        <f t="shared" si="1"/>
        <v>7</v>
      </c>
      <c r="CG41">
        <f t="shared" si="2"/>
        <v>12</v>
      </c>
      <c r="CH41">
        <f t="shared" si="3"/>
        <v>3</v>
      </c>
      <c r="CI41">
        <v>2</v>
      </c>
      <c r="CJ41" s="11">
        <v>288</v>
      </c>
      <c r="CK41" s="14">
        <v>0.43402777777777779</v>
      </c>
      <c r="CL41" s="14">
        <v>0.8</v>
      </c>
      <c r="CM41" s="14">
        <v>5.6000000000000001E-2</v>
      </c>
      <c r="CN41" s="14">
        <v>9.6000000000000002E-2</v>
      </c>
      <c r="CO41" s="14">
        <v>2.4E-2</v>
      </c>
      <c r="CP41" s="14">
        <v>1.6E-2</v>
      </c>
      <c r="CQ41" s="30">
        <v>5</v>
      </c>
      <c r="CR41" s="15">
        <v>101</v>
      </c>
      <c r="CS41">
        <v>10</v>
      </c>
      <c r="CT41">
        <v>15</v>
      </c>
      <c r="CV41">
        <v>1</v>
      </c>
      <c r="CW41" s="14">
        <v>0.42857142857142855</v>
      </c>
      <c r="CX41" s="14">
        <v>0.78294573643410847</v>
      </c>
      <c r="CY41" s="14">
        <v>7.7519379844961239E-2</v>
      </c>
      <c r="CZ41" s="14">
        <v>0.11627906976744186</v>
      </c>
      <c r="DA41" s="14">
        <v>0</v>
      </c>
      <c r="DB41" s="14">
        <v>7.7519379844961239E-3</v>
      </c>
      <c r="DC41" s="30">
        <v>5</v>
      </c>
      <c r="DD41" s="14" t="s">
        <v>474</v>
      </c>
      <c r="DE41" s="17" t="s">
        <v>437</v>
      </c>
      <c r="DF41" s="17" t="s">
        <v>437</v>
      </c>
      <c r="DG41" s="17" t="s">
        <v>453</v>
      </c>
      <c r="DH41" s="21">
        <v>85.13000000000001</v>
      </c>
      <c r="DI41" s="16">
        <v>288</v>
      </c>
      <c r="DJ41" s="16">
        <v>0</v>
      </c>
      <c r="DK41" s="16">
        <v>125</v>
      </c>
      <c r="DL41" s="23">
        <v>0.43402777777777779</v>
      </c>
      <c r="DM41" s="16">
        <v>1</v>
      </c>
      <c r="DN41">
        <v>5</v>
      </c>
      <c r="DO41" s="25"/>
      <c r="DP41" s="25"/>
      <c r="DQ41" s="25"/>
      <c r="DR41" s="26"/>
      <c r="DS41" s="26"/>
    </row>
    <row r="42" spans="1:123" ht="14.25" customHeight="1">
      <c r="A42" s="2">
        <v>4891</v>
      </c>
      <c r="B42" s="3" t="s">
        <v>42</v>
      </c>
      <c r="C42" s="3" t="s">
        <v>44</v>
      </c>
      <c r="D42" s="4">
        <v>40</v>
      </c>
      <c r="E42" s="3" t="s">
        <v>17</v>
      </c>
      <c r="F42" s="3" t="s">
        <v>135</v>
      </c>
      <c r="G42" s="4" t="s">
        <v>136</v>
      </c>
      <c r="H42" s="4" t="b">
        <v>1</v>
      </c>
      <c r="I42" s="4" t="b">
        <v>1</v>
      </c>
      <c r="J42" s="5" t="s">
        <v>136</v>
      </c>
      <c r="K42" s="5" t="s">
        <v>44</v>
      </c>
      <c r="L42" s="5" t="s">
        <v>17</v>
      </c>
      <c r="M42" s="5" t="s">
        <v>135</v>
      </c>
      <c r="N42" s="2" t="s">
        <v>13</v>
      </c>
      <c r="O42" s="2" t="s">
        <v>399</v>
      </c>
      <c r="P42" s="2">
        <v>70840</v>
      </c>
      <c r="Q42" s="2" t="s">
        <v>400</v>
      </c>
      <c r="R42" s="2">
        <v>315</v>
      </c>
      <c r="S42" s="2">
        <v>154</v>
      </c>
      <c r="T42" s="2">
        <v>154</v>
      </c>
      <c r="U42" s="2">
        <v>3</v>
      </c>
      <c r="V42" s="2">
        <v>151</v>
      </c>
      <c r="W42" s="2">
        <v>113</v>
      </c>
      <c r="X42" s="2">
        <v>15</v>
      </c>
      <c r="Y42" s="2">
        <v>0</v>
      </c>
      <c r="Z42" s="2">
        <v>1</v>
      </c>
      <c r="AA42" s="2">
        <v>7</v>
      </c>
      <c r="AB42" s="2">
        <v>1</v>
      </c>
      <c r="AC42" s="2">
        <v>6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7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315</v>
      </c>
      <c r="AQ42" s="2">
        <v>154</v>
      </c>
      <c r="AR42" s="2">
        <v>154</v>
      </c>
      <c r="AS42" s="2">
        <v>2</v>
      </c>
      <c r="AT42" s="2">
        <v>152</v>
      </c>
      <c r="AU42" s="2">
        <v>6</v>
      </c>
      <c r="AV42" s="2">
        <v>0</v>
      </c>
      <c r="AW42" s="2">
        <v>0</v>
      </c>
      <c r="AX42" s="2">
        <v>5</v>
      </c>
      <c r="AY42" s="2">
        <v>9</v>
      </c>
      <c r="AZ42" s="2">
        <v>130</v>
      </c>
      <c r="BA42" s="2">
        <v>1</v>
      </c>
      <c r="BB42" s="2">
        <v>1</v>
      </c>
      <c r="BC42" s="11" t="s">
        <v>13</v>
      </c>
      <c r="BD42" s="11" t="s">
        <v>424</v>
      </c>
      <c r="BE42" s="11">
        <v>70840</v>
      </c>
      <c r="BF42" s="11" t="s">
        <v>400</v>
      </c>
      <c r="BG42" s="11">
        <v>40</v>
      </c>
      <c r="BH42" s="11">
        <v>293</v>
      </c>
      <c r="BI42" s="11">
        <v>125</v>
      </c>
      <c r="BJ42" s="11">
        <v>125</v>
      </c>
      <c r="BK42" s="11">
        <v>4</v>
      </c>
      <c r="BL42" s="11">
        <v>121</v>
      </c>
      <c r="BM42" s="11">
        <v>109</v>
      </c>
      <c r="BN42" s="11">
        <v>8</v>
      </c>
      <c r="BO42" s="11">
        <v>0</v>
      </c>
      <c r="BP42" s="11">
        <v>1</v>
      </c>
      <c r="BQ42" s="11">
        <v>0</v>
      </c>
      <c r="BR42" s="11">
        <v>0</v>
      </c>
      <c r="BS42" s="11">
        <v>1</v>
      </c>
      <c r="BT42" s="11">
        <v>0</v>
      </c>
      <c r="BU42" s="11">
        <v>0</v>
      </c>
      <c r="BV42" s="11">
        <v>1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1</v>
      </c>
      <c r="CD42" s="11">
        <v>0</v>
      </c>
      <c r="CE42">
        <f t="shared" si="0"/>
        <v>117</v>
      </c>
      <c r="CF42">
        <f t="shared" si="1"/>
        <v>1</v>
      </c>
      <c r="CG42">
        <f t="shared" si="2"/>
        <v>1</v>
      </c>
      <c r="CH42">
        <f t="shared" si="3"/>
        <v>0</v>
      </c>
      <c r="CI42">
        <v>1</v>
      </c>
      <c r="CJ42" s="11">
        <v>293</v>
      </c>
      <c r="CK42" s="14">
        <v>0.42662116040955633</v>
      </c>
      <c r="CL42" s="14">
        <v>0.93600000000000005</v>
      </c>
      <c r="CM42" s="14">
        <v>8.0000000000000002E-3</v>
      </c>
      <c r="CN42" s="14">
        <v>1.6E-2</v>
      </c>
      <c r="CO42" s="14">
        <v>0</v>
      </c>
      <c r="CP42" s="14">
        <v>8.0000000000000002E-3</v>
      </c>
      <c r="CQ42" s="30">
        <v>5</v>
      </c>
      <c r="CR42" s="15">
        <v>129</v>
      </c>
      <c r="CS42">
        <v>8</v>
      </c>
      <c r="CT42">
        <v>14</v>
      </c>
      <c r="CV42">
        <v>0</v>
      </c>
      <c r="CW42" s="14">
        <v>0.48888888888888887</v>
      </c>
      <c r="CX42" s="14">
        <v>0.83766233766233766</v>
      </c>
      <c r="CY42" s="14">
        <v>5.1948051948051951E-2</v>
      </c>
      <c r="CZ42" s="14">
        <v>9.0909090909090912E-2</v>
      </c>
      <c r="DA42" s="14">
        <v>0</v>
      </c>
      <c r="DB42" s="14">
        <v>0</v>
      </c>
      <c r="DC42" s="30">
        <v>5</v>
      </c>
      <c r="DD42" s="14" t="s">
        <v>474</v>
      </c>
      <c r="DE42" s="17" t="s">
        <v>437</v>
      </c>
      <c r="DF42" s="17" t="s">
        <v>437</v>
      </c>
      <c r="DG42" s="17" t="s">
        <v>453</v>
      </c>
      <c r="DH42" s="21">
        <v>74.460000000000008</v>
      </c>
      <c r="DI42" s="16">
        <v>293</v>
      </c>
      <c r="DJ42" s="16">
        <v>0</v>
      </c>
      <c r="DK42" s="16">
        <v>125</v>
      </c>
      <c r="DL42" s="23">
        <v>0.42662116040955633</v>
      </c>
      <c r="DM42" s="16">
        <v>1</v>
      </c>
      <c r="DN42">
        <v>5</v>
      </c>
      <c r="DO42" s="25"/>
      <c r="DP42" s="25"/>
      <c r="DQ42" s="25"/>
      <c r="DR42" s="26"/>
      <c r="DS42" s="26"/>
    </row>
    <row r="43" spans="1:123" ht="14.25" customHeight="1">
      <c r="A43" s="2">
        <v>4892</v>
      </c>
      <c r="B43" s="3" t="s">
        <v>42</v>
      </c>
      <c r="C43" s="3" t="s">
        <v>44</v>
      </c>
      <c r="D43" s="4">
        <v>41</v>
      </c>
      <c r="E43" s="3" t="s">
        <v>137</v>
      </c>
      <c r="F43" s="3" t="s">
        <v>135</v>
      </c>
      <c r="G43" s="4" t="s">
        <v>138</v>
      </c>
      <c r="H43" s="4" t="b">
        <v>1</v>
      </c>
      <c r="I43" s="4" t="b">
        <v>1</v>
      </c>
      <c r="J43" s="5" t="s">
        <v>138</v>
      </c>
      <c r="K43" s="5" t="s">
        <v>44</v>
      </c>
      <c r="L43" s="5" t="s">
        <v>137</v>
      </c>
      <c r="M43" s="5" t="s">
        <v>135</v>
      </c>
      <c r="N43" s="2" t="s">
        <v>13</v>
      </c>
      <c r="O43" s="2" t="s">
        <v>399</v>
      </c>
      <c r="P43" s="2">
        <v>70840</v>
      </c>
      <c r="Q43" s="2" t="s">
        <v>400</v>
      </c>
      <c r="R43" s="2">
        <v>232</v>
      </c>
      <c r="S43" s="2">
        <v>124</v>
      </c>
      <c r="T43" s="2">
        <v>124</v>
      </c>
      <c r="U43" s="2">
        <v>3</v>
      </c>
      <c r="V43" s="2">
        <v>121</v>
      </c>
      <c r="W43" s="2">
        <v>74</v>
      </c>
      <c r="X43" s="2">
        <v>37</v>
      </c>
      <c r="Y43" s="2">
        <v>0</v>
      </c>
      <c r="Z43" s="2">
        <v>0</v>
      </c>
      <c r="AA43" s="2">
        <v>1</v>
      </c>
      <c r="AB43" s="2">
        <v>5</v>
      </c>
      <c r="AC43" s="2">
        <v>0</v>
      </c>
      <c r="AD43" s="2">
        <v>0</v>
      </c>
      <c r="AE43" s="2">
        <v>0</v>
      </c>
      <c r="AF43" s="2">
        <v>3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232</v>
      </c>
      <c r="AQ43" s="2">
        <v>124</v>
      </c>
      <c r="AR43" s="2">
        <v>124</v>
      </c>
      <c r="AS43" s="2">
        <v>3</v>
      </c>
      <c r="AT43" s="2">
        <v>121</v>
      </c>
      <c r="AU43" s="2">
        <v>1</v>
      </c>
      <c r="AV43" s="2">
        <v>1</v>
      </c>
      <c r="AW43" s="2">
        <v>0</v>
      </c>
      <c r="AX43" s="2">
        <v>3</v>
      </c>
      <c r="AY43" s="2">
        <v>0</v>
      </c>
      <c r="AZ43" s="2">
        <v>112</v>
      </c>
      <c r="BA43" s="2">
        <v>3</v>
      </c>
      <c r="BB43" s="2">
        <v>1</v>
      </c>
      <c r="BC43" s="11" t="s">
        <v>13</v>
      </c>
      <c r="BD43" s="11" t="s">
        <v>424</v>
      </c>
      <c r="BE43" s="11">
        <v>70840</v>
      </c>
      <c r="BF43" s="11" t="s">
        <v>400</v>
      </c>
      <c r="BG43" s="11">
        <v>41</v>
      </c>
      <c r="BH43" s="11">
        <v>234</v>
      </c>
      <c r="BI43" s="11">
        <v>103</v>
      </c>
      <c r="BJ43" s="11">
        <v>103</v>
      </c>
      <c r="BK43" s="11">
        <v>4</v>
      </c>
      <c r="BL43" s="11">
        <v>99</v>
      </c>
      <c r="BM43" s="11">
        <v>70</v>
      </c>
      <c r="BN43" s="11">
        <v>22</v>
      </c>
      <c r="BO43" s="11">
        <v>0</v>
      </c>
      <c r="BP43" s="11">
        <v>1</v>
      </c>
      <c r="BQ43" s="11">
        <v>0</v>
      </c>
      <c r="BR43" s="11">
        <v>0</v>
      </c>
      <c r="BS43" s="11">
        <v>1</v>
      </c>
      <c r="BT43" s="11">
        <v>0</v>
      </c>
      <c r="BU43" s="11">
        <v>0</v>
      </c>
      <c r="BV43" s="11">
        <v>3</v>
      </c>
      <c r="BW43" s="11">
        <v>0</v>
      </c>
      <c r="BX43" s="11">
        <v>2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>
        <f t="shared" si="0"/>
        <v>92</v>
      </c>
      <c r="CF43">
        <f t="shared" si="1"/>
        <v>1</v>
      </c>
      <c r="CG43">
        <f t="shared" si="2"/>
        <v>3</v>
      </c>
      <c r="CH43">
        <f t="shared" si="3"/>
        <v>0</v>
      </c>
      <c r="CI43">
        <v>3</v>
      </c>
      <c r="CJ43" s="11">
        <v>234</v>
      </c>
      <c r="CK43" s="14">
        <v>0.44017094017094016</v>
      </c>
      <c r="CL43" s="14">
        <v>0.89320388349514568</v>
      </c>
      <c r="CM43" s="14">
        <v>9.7087378640776691E-3</v>
      </c>
      <c r="CN43" s="14">
        <v>2.9126213592233011E-2</v>
      </c>
      <c r="CO43" s="14">
        <v>0</v>
      </c>
      <c r="CP43" s="14">
        <v>2.9126213592233011E-2</v>
      </c>
      <c r="CQ43" s="30">
        <v>5</v>
      </c>
      <c r="CR43" s="15">
        <v>111</v>
      </c>
      <c r="CS43">
        <v>8</v>
      </c>
      <c r="CT43">
        <v>2</v>
      </c>
      <c r="CV43">
        <v>0</v>
      </c>
      <c r="CW43" s="14">
        <v>0.53448275862068961</v>
      </c>
      <c r="CX43" s="14">
        <v>0.89516129032258063</v>
      </c>
      <c r="CY43" s="14">
        <v>6.4516129032258063E-2</v>
      </c>
      <c r="CZ43" s="14">
        <v>1.6129032258064516E-2</v>
      </c>
      <c r="DA43" s="14">
        <v>0</v>
      </c>
      <c r="DB43" s="14">
        <v>0</v>
      </c>
      <c r="DC43" s="30">
        <v>6</v>
      </c>
      <c r="DD43" s="14" t="s">
        <v>476</v>
      </c>
      <c r="DE43" s="17" t="s">
        <v>437</v>
      </c>
      <c r="DF43" s="17" t="s">
        <v>438</v>
      </c>
      <c r="DG43" s="17" t="s">
        <v>455</v>
      </c>
      <c r="DH43" s="21">
        <v>62.510000000000005</v>
      </c>
      <c r="DI43" s="16">
        <v>234</v>
      </c>
      <c r="DJ43" s="16">
        <v>0</v>
      </c>
      <c r="DK43" s="16">
        <v>103</v>
      </c>
      <c r="DL43" s="23">
        <v>0.44017094017094016</v>
      </c>
      <c r="DM43" s="16">
        <v>1</v>
      </c>
      <c r="DN43">
        <v>5</v>
      </c>
      <c r="DO43" s="25"/>
      <c r="DP43" s="25"/>
      <c r="DQ43" s="25"/>
      <c r="DR43" s="26"/>
      <c r="DS43" s="26"/>
    </row>
    <row r="44" spans="1:123" ht="14.25" customHeight="1">
      <c r="A44" s="2">
        <v>4893</v>
      </c>
      <c r="B44" s="3" t="s">
        <v>42</v>
      </c>
      <c r="C44" s="3" t="s">
        <v>44</v>
      </c>
      <c r="D44" s="4">
        <v>42</v>
      </c>
      <c r="E44" s="3" t="s">
        <v>17</v>
      </c>
      <c r="F44" s="3" t="s">
        <v>139</v>
      </c>
      <c r="G44" s="4" t="s">
        <v>140</v>
      </c>
      <c r="H44" s="4" t="b">
        <v>1</v>
      </c>
      <c r="I44" s="4" t="b">
        <v>1</v>
      </c>
      <c r="J44" s="5" t="s">
        <v>140</v>
      </c>
      <c r="K44" s="5" t="s">
        <v>44</v>
      </c>
      <c r="L44" s="5" t="s">
        <v>17</v>
      </c>
      <c r="M44" s="5" t="s">
        <v>139</v>
      </c>
      <c r="N44" s="2" t="s">
        <v>13</v>
      </c>
      <c r="O44" s="2" t="s">
        <v>399</v>
      </c>
      <c r="P44" s="2">
        <v>70840</v>
      </c>
      <c r="Q44" s="2" t="s">
        <v>400</v>
      </c>
      <c r="R44" s="2">
        <v>520</v>
      </c>
      <c r="S44" s="2">
        <v>171</v>
      </c>
      <c r="T44" s="2">
        <v>171</v>
      </c>
      <c r="U44" s="2">
        <v>4</v>
      </c>
      <c r="V44" s="2">
        <v>167</v>
      </c>
      <c r="W44" s="2">
        <v>122</v>
      </c>
      <c r="X44" s="2">
        <v>16</v>
      </c>
      <c r="Y44" s="2">
        <v>1</v>
      </c>
      <c r="Z44" s="2">
        <v>4</v>
      </c>
      <c r="AA44" s="2">
        <v>4</v>
      </c>
      <c r="AB44" s="2">
        <v>8</v>
      </c>
      <c r="AC44" s="2">
        <v>3</v>
      </c>
      <c r="AD44" s="2">
        <v>0</v>
      </c>
      <c r="AE44" s="2">
        <v>0</v>
      </c>
      <c r="AF44" s="2">
        <v>1</v>
      </c>
      <c r="AG44" s="2">
        <v>3</v>
      </c>
      <c r="AH44" s="2">
        <v>0</v>
      </c>
      <c r="AI44" s="2">
        <v>0</v>
      </c>
      <c r="AJ44" s="2">
        <v>2</v>
      </c>
      <c r="AK44" s="2">
        <v>0</v>
      </c>
      <c r="AL44" s="2">
        <v>1</v>
      </c>
      <c r="AM44" s="2">
        <v>1</v>
      </c>
      <c r="AN44" s="2">
        <v>0</v>
      </c>
      <c r="AO44" s="2">
        <v>1</v>
      </c>
      <c r="AP44" s="2">
        <v>520</v>
      </c>
      <c r="AQ44" s="2">
        <v>171</v>
      </c>
      <c r="AR44" s="2">
        <v>171</v>
      </c>
      <c r="AS44" s="2">
        <v>6</v>
      </c>
      <c r="AT44" s="2">
        <v>165</v>
      </c>
      <c r="AU44" s="2">
        <v>1</v>
      </c>
      <c r="AV44" s="2">
        <v>0</v>
      </c>
      <c r="AW44" s="2">
        <v>2</v>
      </c>
      <c r="AX44" s="2">
        <v>4</v>
      </c>
      <c r="AY44" s="2">
        <v>4</v>
      </c>
      <c r="AZ44" s="2">
        <v>145</v>
      </c>
      <c r="BA44" s="2">
        <v>3</v>
      </c>
      <c r="BB44" s="2">
        <v>6</v>
      </c>
      <c r="BC44" s="11" t="s">
        <v>13</v>
      </c>
      <c r="BD44" s="11" t="s">
        <v>424</v>
      </c>
      <c r="BE44" s="11">
        <v>70840</v>
      </c>
      <c r="BF44" s="11" t="s">
        <v>400</v>
      </c>
      <c r="BG44" s="11">
        <v>42</v>
      </c>
      <c r="BH44" s="11">
        <v>494</v>
      </c>
      <c r="BI44" s="11">
        <v>149</v>
      </c>
      <c r="BJ44" s="11">
        <v>149</v>
      </c>
      <c r="BK44" s="11">
        <v>2</v>
      </c>
      <c r="BL44" s="11">
        <v>147</v>
      </c>
      <c r="BM44" s="11">
        <v>126</v>
      </c>
      <c r="BN44" s="11">
        <v>8</v>
      </c>
      <c r="BO44" s="11">
        <v>0</v>
      </c>
      <c r="BP44" s="11">
        <v>1</v>
      </c>
      <c r="BQ44" s="11">
        <v>0</v>
      </c>
      <c r="BR44" s="11">
        <v>0</v>
      </c>
      <c r="BS44" s="11">
        <v>11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1</v>
      </c>
      <c r="CA44" s="11">
        <v>0</v>
      </c>
      <c r="CB44" s="11">
        <v>0</v>
      </c>
      <c r="CC44" s="11">
        <v>0</v>
      </c>
      <c r="CD44" s="11">
        <v>0</v>
      </c>
      <c r="CE44">
        <f t="shared" si="0"/>
        <v>134</v>
      </c>
      <c r="CF44">
        <f t="shared" si="1"/>
        <v>1</v>
      </c>
      <c r="CG44">
        <f t="shared" si="2"/>
        <v>11</v>
      </c>
      <c r="CH44">
        <f t="shared" si="3"/>
        <v>1</v>
      </c>
      <c r="CI44">
        <v>0</v>
      </c>
      <c r="CJ44" s="11">
        <v>494</v>
      </c>
      <c r="CK44" s="14">
        <v>0.30161943319838058</v>
      </c>
      <c r="CL44" s="14">
        <v>0.89932885906040272</v>
      </c>
      <c r="CM44" s="14">
        <v>6.7114093959731542E-3</v>
      </c>
      <c r="CN44" s="14">
        <v>7.3825503355704702E-2</v>
      </c>
      <c r="CO44" s="14">
        <v>6.7114093959731542E-3</v>
      </c>
      <c r="CP44" s="14">
        <v>0</v>
      </c>
      <c r="CQ44" s="30">
        <v>5</v>
      </c>
      <c r="CR44" s="15">
        <v>142</v>
      </c>
      <c r="CS44">
        <v>15</v>
      </c>
      <c r="CT44">
        <v>7</v>
      </c>
      <c r="CV44">
        <v>3</v>
      </c>
      <c r="CW44" s="14">
        <v>0.32884615384615384</v>
      </c>
      <c r="CX44" s="14">
        <v>0.83040935672514615</v>
      </c>
      <c r="CY44" s="14">
        <v>8.771929824561403E-2</v>
      </c>
      <c r="CZ44" s="14">
        <v>4.0935672514619881E-2</v>
      </c>
      <c r="DA44" s="14">
        <v>0</v>
      </c>
      <c r="DB44" s="14">
        <v>1.7543859649122806E-2</v>
      </c>
      <c r="DC44" s="30">
        <v>5</v>
      </c>
      <c r="DD44" s="14" t="s">
        <v>474</v>
      </c>
      <c r="DE44" s="17" t="s">
        <v>437</v>
      </c>
      <c r="DF44" s="17" t="s">
        <v>437</v>
      </c>
      <c r="DG44" s="17" t="s">
        <v>453</v>
      </c>
      <c r="DH44" s="21">
        <v>154.42000000000002</v>
      </c>
      <c r="DI44" s="16">
        <v>494</v>
      </c>
      <c r="DJ44" s="16">
        <v>0</v>
      </c>
      <c r="DK44" s="16">
        <v>149</v>
      </c>
      <c r="DL44" s="23">
        <v>0.30161943319838058</v>
      </c>
      <c r="DM44" s="16">
        <v>1</v>
      </c>
      <c r="DN44">
        <v>5</v>
      </c>
      <c r="DO44" s="25"/>
      <c r="DP44" s="25"/>
      <c r="DQ44" s="25"/>
      <c r="DR44" s="26"/>
      <c r="DS44" s="26"/>
    </row>
    <row r="45" spans="1:123" ht="14.25" customHeight="1">
      <c r="A45" s="2">
        <v>4894</v>
      </c>
      <c r="B45" s="3" t="s">
        <v>42</v>
      </c>
      <c r="C45" s="3" t="s">
        <v>44</v>
      </c>
      <c r="D45" s="4">
        <v>43</v>
      </c>
      <c r="E45" s="3" t="s">
        <v>141</v>
      </c>
      <c r="F45" s="3" t="s">
        <v>40</v>
      </c>
      <c r="G45" s="4" t="s">
        <v>142</v>
      </c>
      <c r="H45" s="4" t="b">
        <v>1</v>
      </c>
      <c r="I45" s="4" t="b">
        <v>1</v>
      </c>
      <c r="J45" s="5" t="s">
        <v>142</v>
      </c>
      <c r="K45" s="5" t="s">
        <v>44</v>
      </c>
      <c r="L45" s="5" t="s">
        <v>141</v>
      </c>
      <c r="M45" s="5" t="s">
        <v>40</v>
      </c>
      <c r="N45" s="2" t="s">
        <v>13</v>
      </c>
      <c r="O45" s="2" t="s">
        <v>399</v>
      </c>
      <c r="P45" s="2">
        <v>70840</v>
      </c>
      <c r="Q45" s="2" t="s">
        <v>400</v>
      </c>
      <c r="R45" s="2">
        <v>558</v>
      </c>
      <c r="S45" s="2">
        <v>269</v>
      </c>
      <c r="T45" s="2">
        <v>269</v>
      </c>
      <c r="U45" s="2">
        <v>8</v>
      </c>
      <c r="V45" s="2">
        <v>261</v>
      </c>
      <c r="W45" s="2">
        <v>197</v>
      </c>
      <c r="X45" s="2">
        <v>33</v>
      </c>
      <c r="Y45" s="2">
        <v>0</v>
      </c>
      <c r="Z45" s="2">
        <v>0</v>
      </c>
      <c r="AA45" s="2">
        <v>7</v>
      </c>
      <c r="AB45" s="2">
        <v>5</v>
      </c>
      <c r="AC45" s="2">
        <v>10</v>
      </c>
      <c r="AD45" s="2">
        <v>2</v>
      </c>
      <c r="AE45" s="2">
        <v>0</v>
      </c>
      <c r="AF45" s="2">
        <v>0</v>
      </c>
      <c r="AG45" s="2">
        <v>2</v>
      </c>
      <c r="AH45" s="2">
        <v>0</v>
      </c>
      <c r="AI45" s="2">
        <v>0</v>
      </c>
      <c r="AJ45" s="2">
        <v>4</v>
      </c>
      <c r="AK45" s="2">
        <v>0</v>
      </c>
      <c r="AL45" s="2">
        <v>0</v>
      </c>
      <c r="AM45" s="2">
        <v>1</v>
      </c>
      <c r="AN45" s="2">
        <v>0</v>
      </c>
      <c r="AO45" s="2">
        <v>0</v>
      </c>
      <c r="AP45" s="2">
        <v>558</v>
      </c>
      <c r="AQ45" s="2">
        <v>267</v>
      </c>
      <c r="AR45" s="2">
        <v>267</v>
      </c>
      <c r="AS45" s="2">
        <v>10</v>
      </c>
      <c r="AT45" s="2">
        <v>257</v>
      </c>
      <c r="AU45" s="2">
        <v>6</v>
      </c>
      <c r="AV45" s="2">
        <v>1</v>
      </c>
      <c r="AW45" s="2">
        <v>1</v>
      </c>
      <c r="AX45" s="2">
        <v>15</v>
      </c>
      <c r="AY45" s="2">
        <v>10</v>
      </c>
      <c r="AZ45" s="2">
        <v>219</v>
      </c>
      <c r="BA45" s="2">
        <v>3</v>
      </c>
      <c r="BB45" s="2">
        <v>2</v>
      </c>
      <c r="BC45" s="11" t="s">
        <v>13</v>
      </c>
      <c r="BD45" s="11" t="s">
        <v>424</v>
      </c>
      <c r="BE45" s="11">
        <v>70840</v>
      </c>
      <c r="BF45" s="11" t="s">
        <v>400</v>
      </c>
      <c r="BG45" s="11">
        <v>43</v>
      </c>
      <c r="BH45" s="11">
        <v>544</v>
      </c>
      <c r="BI45" s="11">
        <v>226</v>
      </c>
      <c r="BJ45" s="11">
        <v>226</v>
      </c>
      <c r="BK45" s="11">
        <v>7</v>
      </c>
      <c r="BL45" s="11">
        <v>219</v>
      </c>
      <c r="BM45" s="11">
        <v>154</v>
      </c>
      <c r="BN45" s="11">
        <v>28</v>
      </c>
      <c r="BO45" s="11">
        <v>2</v>
      </c>
      <c r="BP45" s="11">
        <v>6</v>
      </c>
      <c r="BQ45" s="11">
        <v>3</v>
      </c>
      <c r="BR45" s="11">
        <v>0</v>
      </c>
      <c r="BS45" s="11">
        <v>19</v>
      </c>
      <c r="BT45" s="11">
        <v>1</v>
      </c>
      <c r="BU45" s="11">
        <v>0</v>
      </c>
      <c r="BV45" s="11">
        <v>0</v>
      </c>
      <c r="BW45" s="11">
        <v>2</v>
      </c>
      <c r="BX45" s="11">
        <v>2</v>
      </c>
      <c r="BY45" s="11">
        <v>0</v>
      </c>
      <c r="BZ45" s="11">
        <v>1</v>
      </c>
      <c r="CA45" s="11">
        <v>0</v>
      </c>
      <c r="CB45" s="11">
        <v>0</v>
      </c>
      <c r="CC45" s="11">
        <v>0</v>
      </c>
      <c r="CD45" s="11">
        <v>1</v>
      </c>
      <c r="CE45">
        <f t="shared" si="0"/>
        <v>184</v>
      </c>
      <c r="CF45">
        <f t="shared" si="1"/>
        <v>9</v>
      </c>
      <c r="CG45">
        <f t="shared" si="2"/>
        <v>23</v>
      </c>
      <c r="CH45">
        <f t="shared" si="3"/>
        <v>1</v>
      </c>
      <c r="CI45">
        <v>2</v>
      </c>
      <c r="CJ45" s="11">
        <v>544</v>
      </c>
      <c r="CK45" s="14">
        <v>0.41544117647058826</v>
      </c>
      <c r="CL45" s="14">
        <v>0.81415929203539827</v>
      </c>
      <c r="CM45" s="14">
        <v>4.8672566371681415E-2</v>
      </c>
      <c r="CN45" s="14">
        <v>9.2920353982300891E-2</v>
      </c>
      <c r="CO45" s="14">
        <v>4.4247787610619468E-3</v>
      </c>
      <c r="CP45" s="14">
        <v>8.8495575221238937E-3</v>
      </c>
      <c r="CQ45" s="30">
        <v>5</v>
      </c>
      <c r="CR45" s="15">
        <v>230</v>
      </c>
      <c r="CS45">
        <v>17</v>
      </c>
      <c r="CT45">
        <v>12</v>
      </c>
      <c r="CV45">
        <v>2</v>
      </c>
      <c r="CW45" s="14">
        <v>0.48207885304659498</v>
      </c>
      <c r="CX45" s="14">
        <v>0.85501858736059477</v>
      </c>
      <c r="CY45" s="14">
        <v>6.3197026022304828E-2</v>
      </c>
      <c r="CZ45" s="14">
        <v>4.4609665427509292E-2</v>
      </c>
      <c r="DA45" s="14">
        <v>0</v>
      </c>
      <c r="DB45" s="14">
        <v>7.4349442379182153E-3</v>
      </c>
      <c r="DC45" s="30">
        <v>5</v>
      </c>
      <c r="DD45" s="14" t="s">
        <v>474</v>
      </c>
      <c r="DE45" s="17" t="s">
        <v>437</v>
      </c>
      <c r="DF45" s="17" t="s">
        <v>437</v>
      </c>
      <c r="DG45" s="17" t="s">
        <v>453</v>
      </c>
      <c r="DH45" s="21">
        <v>164.02</v>
      </c>
      <c r="DI45" s="16">
        <v>544</v>
      </c>
      <c r="DJ45" s="16">
        <v>0</v>
      </c>
      <c r="DK45" s="16">
        <v>226</v>
      </c>
      <c r="DL45" s="23">
        <v>0.41544117647058826</v>
      </c>
      <c r="DM45" s="16">
        <v>1</v>
      </c>
      <c r="DN45">
        <v>5</v>
      </c>
      <c r="DO45" s="25"/>
      <c r="DP45" s="25"/>
      <c r="DQ45" s="25"/>
      <c r="DR45" s="26"/>
      <c r="DS45" s="26"/>
    </row>
    <row r="46" spans="1:123" ht="14.25" customHeight="1">
      <c r="A46" s="2">
        <v>4895</v>
      </c>
      <c r="B46" s="3" t="s">
        <v>42</v>
      </c>
      <c r="C46" s="3" t="s">
        <v>44</v>
      </c>
      <c r="D46" s="4">
        <v>44</v>
      </c>
      <c r="E46" s="3" t="s">
        <v>106</v>
      </c>
      <c r="F46" s="3" t="s">
        <v>35</v>
      </c>
      <c r="G46" s="4" t="s">
        <v>143</v>
      </c>
      <c r="H46" s="4" t="b">
        <v>1</v>
      </c>
      <c r="I46" s="4" t="b">
        <v>1</v>
      </c>
      <c r="J46" s="5" t="s">
        <v>143</v>
      </c>
      <c r="K46" s="5" t="s">
        <v>44</v>
      </c>
      <c r="L46" s="5" t="s">
        <v>106</v>
      </c>
      <c r="M46" s="5" t="s">
        <v>35</v>
      </c>
      <c r="N46" s="2" t="s">
        <v>13</v>
      </c>
      <c r="O46" s="2" t="s">
        <v>399</v>
      </c>
      <c r="P46" s="2">
        <v>70840</v>
      </c>
      <c r="Q46" s="2" t="s">
        <v>400</v>
      </c>
      <c r="R46" s="2">
        <v>251</v>
      </c>
      <c r="S46" s="2">
        <v>70</v>
      </c>
      <c r="T46" s="2">
        <v>70</v>
      </c>
      <c r="U46" s="2">
        <v>2</v>
      </c>
      <c r="V46" s="2">
        <v>68</v>
      </c>
      <c r="W46" s="2">
        <v>48</v>
      </c>
      <c r="X46" s="2">
        <v>6</v>
      </c>
      <c r="Y46" s="2">
        <v>0</v>
      </c>
      <c r="Z46" s="2">
        <v>1</v>
      </c>
      <c r="AA46" s="2">
        <v>5</v>
      </c>
      <c r="AB46" s="2">
        <v>4</v>
      </c>
      <c r="AC46" s="2">
        <v>1</v>
      </c>
      <c r="AD46" s="2">
        <v>0</v>
      </c>
      <c r="AE46" s="2">
        <v>2</v>
      </c>
      <c r="AF46" s="2">
        <v>0</v>
      </c>
      <c r="AG46" s="2">
        <v>1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251</v>
      </c>
      <c r="AQ46" s="2">
        <v>70</v>
      </c>
      <c r="AR46" s="2">
        <v>70</v>
      </c>
      <c r="AS46" s="2">
        <v>4</v>
      </c>
      <c r="AT46" s="2">
        <v>66</v>
      </c>
      <c r="AU46" s="2">
        <v>0</v>
      </c>
      <c r="AV46" s="2">
        <v>2</v>
      </c>
      <c r="AW46" s="2">
        <v>0</v>
      </c>
      <c r="AX46" s="2">
        <v>4</v>
      </c>
      <c r="AY46" s="2">
        <v>1</v>
      </c>
      <c r="AZ46" s="2">
        <v>49</v>
      </c>
      <c r="BA46" s="2">
        <v>4</v>
      </c>
      <c r="BB46" s="2">
        <v>6</v>
      </c>
      <c r="BC46" s="11" t="s">
        <v>13</v>
      </c>
      <c r="BD46" s="11" t="s">
        <v>424</v>
      </c>
      <c r="BE46" s="11">
        <v>70840</v>
      </c>
      <c r="BF46" s="11" t="s">
        <v>400</v>
      </c>
      <c r="BG46" s="11">
        <v>44</v>
      </c>
      <c r="BH46" s="11">
        <v>236</v>
      </c>
      <c r="BI46" s="11">
        <v>49</v>
      </c>
      <c r="BJ46" s="11">
        <v>49</v>
      </c>
      <c r="BK46" s="11">
        <v>3</v>
      </c>
      <c r="BL46" s="11">
        <v>46</v>
      </c>
      <c r="BM46" s="11">
        <v>28</v>
      </c>
      <c r="BN46" s="11">
        <v>3</v>
      </c>
      <c r="BO46" s="11">
        <v>3</v>
      </c>
      <c r="BP46" s="11">
        <v>3</v>
      </c>
      <c r="BQ46" s="11">
        <v>1</v>
      </c>
      <c r="BR46" s="11">
        <v>0</v>
      </c>
      <c r="BS46" s="11">
        <v>7</v>
      </c>
      <c r="BT46" s="11">
        <v>0</v>
      </c>
      <c r="BU46" s="11">
        <v>0</v>
      </c>
      <c r="BV46" s="11">
        <v>0</v>
      </c>
      <c r="BW46" s="11">
        <v>0</v>
      </c>
      <c r="BX46" s="11">
        <v>1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>
        <f t="shared" si="0"/>
        <v>34</v>
      </c>
      <c r="CF46">
        <f t="shared" si="1"/>
        <v>4</v>
      </c>
      <c r="CG46">
        <f t="shared" si="2"/>
        <v>8</v>
      </c>
      <c r="CH46">
        <f t="shared" si="3"/>
        <v>0</v>
      </c>
      <c r="CI46">
        <v>0</v>
      </c>
      <c r="CJ46" s="11">
        <v>236</v>
      </c>
      <c r="CK46" s="14">
        <v>0.2076271186440678</v>
      </c>
      <c r="CL46" s="14">
        <v>0.69387755102040816</v>
      </c>
      <c r="CM46" s="14">
        <v>8.1632653061224483E-2</v>
      </c>
      <c r="CN46" s="14">
        <v>0.16326530612244897</v>
      </c>
      <c r="CO46" s="14">
        <v>0</v>
      </c>
      <c r="CP46" s="14">
        <v>0</v>
      </c>
      <c r="CQ46" s="30">
        <v>5</v>
      </c>
      <c r="CR46" s="15">
        <v>55</v>
      </c>
      <c r="CS46">
        <v>6</v>
      </c>
      <c r="CT46">
        <v>7</v>
      </c>
      <c r="CV46">
        <v>0</v>
      </c>
      <c r="CW46" s="14">
        <v>0.2788844621513944</v>
      </c>
      <c r="CX46" s="14">
        <v>0.7857142857142857</v>
      </c>
      <c r="CY46" s="14">
        <v>8.5714285714285715E-2</v>
      </c>
      <c r="CZ46" s="14">
        <v>0.1</v>
      </c>
      <c r="DA46" s="14">
        <v>0</v>
      </c>
      <c r="DB46" s="14">
        <v>0</v>
      </c>
      <c r="DC46" s="30">
        <v>5</v>
      </c>
      <c r="DD46" s="14" t="s">
        <v>474</v>
      </c>
      <c r="DE46" s="17" t="s">
        <v>437</v>
      </c>
      <c r="DF46" s="17" t="s">
        <v>437</v>
      </c>
      <c r="DG46" s="17" t="s">
        <v>453</v>
      </c>
      <c r="DH46" s="21">
        <v>85.5</v>
      </c>
      <c r="DI46" s="16">
        <v>236</v>
      </c>
      <c r="DJ46" s="16">
        <v>0</v>
      </c>
      <c r="DK46" s="16">
        <v>49</v>
      </c>
      <c r="DL46" s="23">
        <v>0.2076271186440678</v>
      </c>
      <c r="DM46" s="16">
        <v>1</v>
      </c>
      <c r="DN46">
        <v>5</v>
      </c>
      <c r="DO46" s="25"/>
      <c r="DP46" s="25"/>
      <c r="DQ46" s="25"/>
      <c r="DR46" s="26"/>
      <c r="DS46" s="26"/>
    </row>
    <row r="47" spans="1:123" ht="14.25" customHeight="1">
      <c r="A47" s="2">
        <v>4896</v>
      </c>
      <c r="B47" s="3" t="s">
        <v>42</v>
      </c>
      <c r="C47" s="3" t="s">
        <v>44</v>
      </c>
      <c r="D47" s="4">
        <v>45</v>
      </c>
      <c r="E47" s="3" t="s">
        <v>31</v>
      </c>
      <c r="F47" s="3" t="s">
        <v>35</v>
      </c>
      <c r="G47" s="4" t="s">
        <v>144</v>
      </c>
      <c r="H47" s="4" t="b">
        <v>1</v>
      </c>
      <c r="I47" s="4" t="b">
        <v>1</v>
      </c>
      <c r="J47" s="5" t="s">
        <v>144</v>
      </c>
      <c r="K47" s="5" t="s">
        <v>44</v>
      </c>
      <c r="L47" s="5" t="s">
        <v>31</v>
      </c>
      <c r="M47" s="5" t="s">
        <v>35</v>
      </c>
      <c r="N47" s="2" t="s">
        <v>13</v>
      </c>
      <c r="O47" s="2" t="s">
        <v>399</v>
      </c>
      <c r="P47" s="2">
        <v>70840</v>
      </c>
      <c r="Q47" s="2" t="s">
        <v>400</v>
      </c>
      <c r="R47" s="2">
        <v>428</v>
      </c>
      <c r="S47" s="2">
        <v>147</v>
      </c>
      <c r="T47" s="2">
        <v>147</v>
      </c>
      <c r="U47" s="2">
        <v>9</v>
      </c>
      <c r="V47" s="2">
        <v>138</v>
      </c>
      <c r="W47" s="2">
        <v>87</v>
      </c>
      <c r="X47" s="2">
        <v>23</v>
      </c>
      <c r="Y47" s="2">
        <v>1</v>
      </c>
      <c r="Z47" s="2">
        <v>3</v>
      </c>
      <c r="AA47" s="2">
        <v>5</v>
      </c>
      <c r="AB47" s="2">
        <v>9</v>
      </c>
      <c r="AC47" s="2">
        <v>1</v>
      </c>
      <c r="AD47" s="2">
        <v>1</v>
      </c>
      <c r="AE47" s="2">
        <v>0</v>
      </c>
      <c r="AF47" s="2">
        <v>0</v>
      </c>
      <c r="AG47" s="2">
        <v>2</v>
      </c>
      <c r="AH47" s="2">
        <v>0</v>
      </c>
      <c r="AI47" s="2">
        <v>0</v>
      </c>
      <c r="AJ47" s="2">
        <v>5</v>
      </c>
      <c r="AK47" s="2">
        <v>0</v>
      </c>
      <c r="AL47" s="2">
        <v>0</v>
      </c>
      <c r="AM47" s="2">
        <v>1</v>
      </c>
      <c r="AN47" s="2">
        <v>0</v>
      </c>
      <c r="AO47" s="2">
        <v>0</v>
      </c>
      <c r="AP47" s="2">
        <v>428</v>
      </c>
      <c r="AQ47" s="2">
        <v>147</v>
      </c>
      <c r="AR47" s="2">
        <v>147</v>
      </c>
      <c r="AS47" s="2">
        <v>3</v>
      </c>
      <c r="AT47" s="2">
        <v>144</v>
      </c>
      <c r="AU47" s="2">
        <v>4</v>
      </c>
      <c r="AV47" s="2">
        <v>1</v>
      </c>
      <c r="AW47" s="2">
        <v>0</v>
      </c>
      <c r="AX47" s="2">
        <v>8</v>
      </c>
      <c r="AY47" s="2">
        <v>0</v>
      </c>
      <c r="AZ47" s="2">
        <v>122</v>
      </c>
      <c r="BA47" s="2">
        <v>8</v>
      </c>
      <c r="BB47" s="2">
        <v>1</v>
      </c>
      <c r="BC47" s="11" t="s">
        <v>13</v>
      </c>
      <c r="BD47" s="11" t="s">
        <v>424</v>
      </c>
      <c r="BE47" s="11">
        <v>70840</v>
      </c>
      <c r="BF47" s="11" t="s">
        <v>400</v>
      </c>
      <c r="BG47" s="11">
        <v>45</v>
      </c>
      <c r="BH47" s="11">
        <v>435</v>
      </c>
      <c r="BI47" s="11">
        <v>126</v>
      </c>
      <c r="BJ47" s="11">
        <v>126</v>
      </c>
      <c r="BK47" s="11">
        <v>6</v>
      </c>
      <c r="BL47" s="11">
        <v>120</v>
      </c>
      <c r="BM47" s="11">
        <v>90</v>
      </c>
      <c r="BN47" s="11">
        <v>5</v>
      </c>
      <c r="BO47" s="11">
        <v>3</v>
      </c>
      <c r="BP47" s="11">
        <v>3</v>
      </c>
      <c r="BQ47" s="11">
        <v>6</v>
      </c>
      <c r="BR47" s="11">
        <v>0</v>
      </c>
      <c r="BS47" s="11">
        <v>11</v>
      </c>
      <c r="BT47" s="11">
        <v>1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1</v>
      </c>
      <c r="CA47" s="11">
        <v>0</v>
      </c>
      <c r="CB47" s="11">
        <v>0</v>
      </c>
      <c r="CC47" s="11">
        <v>0</v>
      </c>
      <c r="CD47" s="11">
        <v>0</v>
      </c>
      <c r="CE47">
        <f t="shared" si="0"/>
        <v>98</v>
      </c>
      <c r="CF47">
        <f t="shared" si="1"/>
        <v>9</v>
      </c>
      <c r="CG47">
        <f t="shared" si="2"/>
        <v>11</v>
      </c>
      <c r="CH47">
        <f t="shared" si="3"/>
        <v>1</v>
      </c>
      <c r="CI47">
        <v>1</v>
      </c>
      <c r="CJ47" s="11">
        <v>435</v>
      </c>
      <c r="CK47" s="14">
        <v>0.28965517241379313</v>
      </c>
      <c r="CL47" s="14">
        <v>0.77777777777777779</v>
      </c>
      <c r="CM47" s="14">
        <v>7.1428571428571425E-2</v>
      </c>
      <c r="CN47" s="14">
        <v>8.7301587301587297E-2</v>
      </c>
      <c r="CO47" s="14">
        <v>7.9365079365079361E-3</v>
      </c>
      <c r="CP47" s="14">
        <v>7.9365079365079361E-3</v>
      </c>
      <c r="CQ47" s="30">
        <v>5</v>
      </c>
      <c r="CR47" s="15">
        <v>113</v>
      </c>
      <c r="CS47">
        <v>12</v>
      </c>
      <c r="CT47">
        <v>11</v>
      </c>
      <c r="CV47">
        <v>2</v>
      </c>
      <c r="CW47" s="14">
        <v>0.34345794392523366</v>
      </c>
      <c r="CX47" s="14">
        <v>0.76870748299319724</v>
      </c>
      <c r="CY47" s="14">
        <v>8.1632653061224483E-2</v>
      </c>
      <c r="CZ47" s="14">
        <v>7.4829931972789115E-2</v>
      </c>
      <c r="DA47" s="14">
        <v>0</v>
      </c>
      <c r="DB47" s="14">
        <v>1.3605442176870748E-2</v>
      </c>
      <c r="DC47" s="30">
        <v>5</v>
      </c>
      <c r="DD47" s="14" t="s">
        <v>474</v>
      </c>
      <c r="DE47" s="17" t="s">
        <v>437</v>
      </c>
      <c r="DF47" s="17" t="s">
        <v>437</v>
      </c>
      <c r="DG47" s="17" t="s">
        <v>453</v>
      </c>
      <c r="DH47" s="21">
        <v>143.61000000000001</v>
      </c>
      <c r="DI47" s="16">
        <v>435</v>
      </c>
      <c r="DJ47" s="16">
        <v>0</v>
      </c>
      <c r="DK47" s="16">
        <v>126</v>
      </c>
      <c r="DL47" s="23">
        <v>0.28965517241379313</v>
      </c>
      <c r="DM47" s="16">
        <v>1</v>
      </c>
      <c r="DN47">
        <v>5</v>
      </c>
      <c r="DO47" s="25"/>
      <c r="DP47" s="25"/>
      <c r="DQ47" s="25"/>
      <c r="DR47" s="26"/>
      <c r="DS47" s="26"/>
    </row>
    <row r="48" spans="1:123" ht="14.25" customHeight="1">
      <c r="A48" s="2">
        <v>4897</v>
      </c>
      <c r="B48" s="3" t="s">
        <v>42</v>
      </c>
      <c r="C48" s="3" t="s">
        <v>44</v>
      </c>
      <c r="D48" s="4">
        <v>46</v>
      </c>
      <c r="E48" s="3" t="s">
        <v>145</v>
      </c>
      <c r="F48" s="3" t="s">
        <v>146</v>
      </c>
      <c r="G48" s="4" t="s">
        <v>147</v>
      </c>
      <c r="H48" s="4" t="b">
        <v>1</v>
      </c>
      <c r="I48" s="4" t="b">
        <v>1</v>
      </c>
      <c r="J48" s="5" t="s">
        <v>147</v>
      </c>
      <c r="K48" s="5" t="s">
        <v>44</v>
      </c>
      <c r="L48" s="5" t="s">
        <v>145</v>
      </c>
      <c r="M48" s="5" t="s">
        <v>146</v>
      </c>
      <c r="N48" s="2" t="s">
        <v>13</v>
      </c>
      <c r="O48" s="2" t="s">
        <v>399</v>
      </c>
      <c r="P48" s="2">
        <v>70840</v>
      </c>
      <c r="Q48" s="2" t="s">
        <v>400</v>
      </c>
      <c r="R48" s="2">
        <v>639</v>
      </c>
      <c r="S48" s="2">
        <v>218</v>
      </c>
      <c r="T48" s="2">
        <v>218</v>
      </c>
      <c r="U48" s="2">
        <v>6</v>
      </c>
      <c r="V48" s="2">
        <v>212</v>
      </c>
      <c r="W48" s="2">
        <v>132</v>
      </c>
      <c r="X48" s="2">
        <v>45</v>
      </c>
      <c r="Y48" s="2">
        <v>0</v>
      </c>
      <c r="Z48" s="2">
        <v>3</v>
      </c>
      <c r="AA48" s="2">
        <v>14</v>
      </c>
      <c r="AB48" s="2">
        <v>2</v>
      </c>
      <c r="AC48" s="2">
        <v>3</v>
      </c>
      <c r="AD48" s="2">
        <v>0</v>
      </c>
      <c r="AE48" s="2">
        <v>0</v>
      </c>
      <c r="AF48" s="2">
        <v>1</v>
      </c>
      <c r="AG48" s="2">
        <v>9</v>
      </c>
      <c r="AH48" s="2">
        <v>0</v>
      </c>
      <c r="AI48" s="2">
        <v>0</v>
      </c>
      <c r="AJ48" s="2">
        <v>3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639</v>
      </c>
      <c r="AQ48" s="2">
        <v>218</v>
      </c>
      <c r="AR48" s="2">
        <v>218</v>
      </c>
      <c r="AS48" s="2">
        <v>7</v>
      </c>
      <c r="AT48" s="2">
        <v>211</v>
      </c>
      <c r="AU48" s="2">
        <v>1</v>
      </c>
      <c r="AV48" s="2">
        <v>1</v>
      </c>
      <c r="AW48" s="2">
        <v>1</v>
      </c>
      <c r="AX48" s="2">
        <v>10</v>
      </c>
      <c r="AY48" s="2">
        <v>4</v>
      </c>
      <c r="AZ48" s="2">
        <v>180</v>
      </c>
      <c r="BA48" s="2">
        <v>7</v>
      </c>
      <c r="BB48" s="2">
        <v>7</v>
      </c>
      <c r="BC48" s="11" t="s">
        <v>13</v>
      </c>
      <c r="BD48" s="11" t="s">
        <v>424</v>
      </c>
      <c r="BE48" s="11">
        <v>70840</v>
      </c>
      <c r="BF48" s="11" t="s">
        <v>400</v>
      </c>
      <c r="BG48" s="11">
        <v>46</v>
      </c>
      <c r="BH48" s="11">
        <v>640</v>
      </c>
      <c r="BI48" s="11">
        <v>222</v>
      </c>
      <c r="BJ48" s="11">
        <v>222</v>
      </c>
      <c r="BK48" s="11">
        <v>6</v>
      </c>
      <c r="BL48" s="11">
        <v>216</v>
      </c>
      <c r="BM48" s="11">
        <v>156</v>
      </c>
      <c r="BN48" s="11">
        <v>15</v>
      </c>
      <c r="BO48" s="11">
        <v>4</v>
      </c>
      <c r="BP48" s="11">
        <v>7</v>
      </c>
      <c r="BQ48" s="11">
        <v>3</v>
      </c>
      <c r="BR48" s="11">
        <v>0</v>
      </c>
      <c r="BS48" s="11">
        <v>14</v>
      </c>
      <c r="BT48" s="11">
        <v>0</v>
      </c>
      <c r="BU48" s="11">
        <v>2</v>
      </c>
      <c r="BV48" s="11">
        <v>0</v>
      </c>
      <c r="BW48" s="11">
        <v>0</v>
      </c>
      <c r="BX48" s="11">
        <v>0</v>
      </c>
      <c r="BY48" s="11">
        <v>0</v>
      </c>
      <c r="BZ48" s="11">
        <v>15</v>
      </c>
      <c r="CA48" s="11">
        <v>0</v>
      </c>
      <c r="CB48" s="11">
        <v>0</v>
      </c>
      <c r="CC48" s="11">
        <v>0</v>
      </c>
      <c r="CD48" s="11">
        <v>0</v>
      </c>
      <c r="CE48">
        <f t="shared" si="0"/>
        <v>175</v>
      </c>
      <c r="CF48">
        <f t="shared" si="1"/>
        <v>10</v>
      </c>
      <c r="CG48">
        <f t="shared" si="2"/>
        <v>14</v>
      </c>
      <c r="CH48">
        <f t="shared" si="3"/>
        <v>15</v>
      </c>
      <c r="CI48">
        <v>2</v>
      </c>
      <c r="CJ48" s="11">
        <v>640</v>
      </c>
      <c r="CK48" s="14">
        <v>0.34687499999999999</v>
      </c>
      <c r="CL48" s="14">
        <v>0.78828828828828834</v>
      </c>
      <c r="CM48" s="14">
        <v>4.5045045045045043E-2</v>
      </c>
      <c r="CN48" s="14">
        <v>6.3063063063063057E-2</v>
      </c>
      <c r="CO48" s="14">
        <v>6.7567567567567571E-2</v>
      </c>
      <c r="CP48" s="14">
        <v>9.0090090090090089E-3</v>
      </c>
      <c r="CQ48" s="30">
        <v>5</v>
      </c>
      <c r="CR48" s="15">
        <v>180</v>
      </c>
      <c r="CS48">
        <v>15</v>
      </c>
      <c r="CT48">
        <v>17</v>
      </c>
      <c r="CV48">
        <v>0</v>
      </c>
      <c r="CW48" s="14">
        <v>0.34115805946791861</v>
      </c>
      <c r="CX48" s="14">
        <v>0.82568807339449546</v>
      </c>
      <c r="CY48" s="14">
        <v>6.8807339449541288E-2</v>
      </c>
      <c r="CZ48" s="14">
        <v>7.7981651376146793E-2</v>
      </c>
      <c r="DA48" s="14">
        <v>0</v>
      </c>
      <c r="DB48" s="14">
        <v>0</v>
      </c>
      <c r="DC48" s="30">
        <v>5</v>
      </c>
      <c r="DD48" s="14" t="s">
        <v>474</v>
      </c>
      <c r="DE48" s="17" t="s">
        <v>437</v>
      </c>
      <c r="DF48" s="17" t="s">
        <v>437</v>
      </c>
      <c r="DG48" s="17" t="s">
        <v>453</v>
      </c>
      <c r="DH48" s="21">
        <v>203.13000000000002</v>
      </c>
      <c r="DI48" s="16">
        <v>640</v>
      </c>
      <c r="DJ48" s="16">
        <v>0</v>
      </c>
      <c r="DK48" s="16">
        <v>222</v>
      </c>
      <c r="DL48" s="23">
        <v>0.34687499999999999</v>
      </c>
      <c r="DM48" s="16">
        <v>1</v>
      </c>
      <c r="DN48">
        <v>5</v>
      </c>
      <c r="DO48" s="25"/>
      <c r="DP48" s="25"/>
      <c r="DQ48" s="25"/>
      <c r="DR48" s="26"/>
      <c r="DS48" s="26"/>
    </row>
    <row r="49" spans="1:123" ht="14.25" customHeight="1">
      <c r="A49" s="2">
        <v>4898</v>
      </c>
      <c r="B49" s="3" t="s">
        <v>42</v>
      </c>
      <c r="C49" s="3" t="s">
        <v>44</v>
      </c>
      <c r="D49" s="4">
        <v>47</v>
      </c>
      <c r="E49" s="3" t="s">
        <v>17</v>
      </c>
      <c r="F49" s="3" t="s">
        <v>148</v>
      </c>
      <c r="G49" s="4" t="s">
        <v>149</v>
      </c>
      <c r="H49" s="4" t="b">
        <v>1</v>
      </c>
      <c r="I49" s="4" t="b">
        <v>1</v>
      </c>
      <c r="J49" s="5" t="s">
        <v>149</v>
      </c>
      <c r="K49" s="5" t="s">
        <v>44</v>
      </c>
      <c r="L49" s="5" t="s">
        <v>17</v>
      </c>
      <c r="M49" s="5" t="s">
        <v>148</v>
      </c>
      <c r="N49" s="2" t="s">
        <v>13</v>
      </c>
      <c r="O49" s="2" t="s">
        <v>399</v>
      </c>
      <c r="P49" s="2">
        <v>70840</v>
      </c>
      <c r="Q49" s="2" t="s">
        <v>400</v>
      </c>
      <c r="R49" s="2">
        <v>537</v>
      </c>
      <c r="S49" s="2">
        <v>320</v>
      </c>
      <c r="T49" s="2">
        <v>319</v>
      </c>
      <c r="U49" s="2">
        <v>3</v>
      </c>
      <c r="V49" s="2">
        <v>316</v>
      </c>
      <c r="W49" s="2">
        <v>244</v>
      </c>
      <c r="X49" s="2">
        <v>42</v>
      </c>
      <c r="Y49" s="2">
        <v>1</v>
      </c>
      <c r="Z49" s="2">
        <v>3</v>
      </c>
      <c r="AA49" s="2">
        <v>9</v>
      </c>
      <c r="AB49" s="2">
        <v>3</v>
      </c>
      <c r="AC49" s="2">
        <v>8</v>
      </c>
      <c r="AD49" s="2">
        <v>1</v>
      </c>
      <c r="AE49" s="2">
        <v>0</v>
      </c>
      <c r="AF49" s="2">
        <v>1</v>
      </c>
      <c r="AG49" s="2">
        <v>4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537</v>
      </c>
      <c r="AQ49" s="2">
        <v>320</v>
      </c>
      <c r="AR49" s="2">
        <v>319</v>
      </c>
      <c r="AS49" s="2">
        <v>4</v>
      </c>
      <c r="AT49" s="2">
        <v>315</v>
      </c>
      <c r="AU49" s="2">
        <v>6</v>
      </c>
      <c r="AV49" s="2">
        <v>2</v>
      </c>
      <c r="AW49" s="2">
        <v>1</v>
      </c>
      <c r="AX49" s="2">
        <v>8</v>
      </c>
      <c r="AY49" s="2">
        <v>6</v>
      </c>
      <c r="AZ49" s="2">
        <v>280</v>
      </c>
      <c r="BA49" s="2">
        <v>3</v>
      </c>
      <c r="BB49" s="2">
        <v>9</v>
      </c>
      <c r="BC49" s="11" t="s">
        <v>13</v>
      </c>
      <c r="BD49" s="11" t="s">
        <v>424</v>
      </c>
      <c r="BE49" s="11">
        <v>70840</v>
      </c>
      <c r="BF49" s="11" t="s">
        <v>400</v>
      </c>
      <c r="BG49" s="11">
        <v>47</v>
      </c>
      <c r="BH49" s="11">
        <v>521</v>
      </c>
      <c r="BI49" s="11">
        <v>242</v>
      </c>
      <c r="BJ49" s="11">
        <v>242</v>
      </c>
      <c r="BK49" s="11">
        <v>6</v>
      </c>
      <c r="BL49" s="11">
        <v>236</v>
      </c>
      <c r="BM49" s="11">
        <v>192</v>
      </c>
      <c r="BN49" s="11">
        <v>15</v>
      </c>
      <c r="BO49" s="11">
        <v>2</v>
      </c>
      <c r="BP49" s="11">
        <v>6</v>
      </c>
      <c r="BQ49" s="11">
        <v>3</v>
      </c>
      <c r="BR49" s="11">
        <v>0</v>
      </c>
      <c r="BS49" s="11">
        <v>13</v>
      </c>
      <c r="BT49" s="11">
        <v>0</v>
      </c>
      <c r="BU49" s="11">
        <v>0</v>
      </c>
      <c r="BV49" s="11">
        <v>0</v>
      </c>
      <c r="BW49" s="11">
        <v>1</v>
      </c>
      <c r="BX49" s="11">
        <v>0</v>
      </c>
      <c r="BY49" s="11">
        <v>0</v>
      </c>
      <c r="BZ49" s="11">
        <v>3</v>
      </c>
      <c r="CA49" s="11">
        <v>0</v>
      </c>
      <c r="CB49" s="11">
        <v>0</v>
      </c>
      <c r="CC49" s="11">
        <v>0</v>
      </c>
      <c r="CD49" s="11">
        <v>1</v>
      </c>
      <c r="CE49">
        <f t="shared" si="0"/>
        <v>209</v>
      </c>
      <c r="CF49">
        <f t="shared" si="1"/>
        <v>9</v>
      </c>
      <c r="CG49">
        <f t="shared" si="2"/>
        <v>14</v>
      </c>
      <c r="CH49">
        <f t="shared" si="3"/>
        <v>3</v>
      </c>
      <c r="CI49">
        <v>1</v>
      </c>
      <c r="CJ49" s="11">
        <v>521</v>
      </c>
      <c r="CK49" s="14">
        <v>0.46449136276391556</v>
      </c>
      <c r="CL49" s="14">
        <v>0.86363636363636365</v>
      </c>
      <c r="CM49" s="14">
        <v>4.1322314049586778E-2</v>
      </c>
      <c r="CN49" s="14">
        <v>5.3719008264462811E-2</v>
      </c>
      <c r="CO49" s="14">
        <v>1.2396694214876033E-2</v>
      </c>
      <c r="CP49" s="14">
        <v>4.1322314049586778E-3</v>
      </c>
      <c r="CQ49" s="30">
        <v>5</v>
      </c>
      <c r="CR49" s="15">
        <v>289</v>
      </c>
      <c r="CS49">
        <v>16</v>
      </c>
      <c r="CT49">
        <v>9</v>
      </c>
      <c r="CV49">
        <v>2</v>
      </c>
      <c r="CW49" s="14">
        <v>0.59590316573556801</v>
      </c>
      <c r="CX49" s="14">
        <v>0.90312499999999996</v>
      </c>
      <c r="CY49" s="14">
        <v>0.05</v>
      </c>
      <c r="CZ49" s="14">
        <v>2.8125000000000001E-2</v>
      </c>
      <c r="DA49" s="14">
        <v>0</v>
      </c>
      <c r="DB49" s="14">
        <v>6.2500000000000003E-3</v>
      </c>
      <c r="DC49" s="30">
        <v>8</v>
      </c>
      <c r="DD49" s="14" t="s">
        <v>479</v>
      </c>
      <c r="DE49" s="17" t="s">
        <v>437</v>
      </c>
      <c r="DF49" s="17" t="s">
        <v>439</v>
      </c>
      <c r="DG49" s="17" t="s">
        <v>458</v>
      </c>
      <c r="DH49" s="21">
        <v>139.92000000000002</v>
      </c>
      <c r="DI49" s="16">
        <v>521</v>
      </c>
      <c r="DJ49" s="16">
        <v>0</v>
      </c>
      <c r="DK49" s="16">
        <v>242</v>
      </c>
      <c r="DL49" s="23">
        <v>0.46449136276391556</v>
      </c>
      <c r="DM49" s="16">
        <v>1</v>
      </c>
      <c r="DN49">
        <v>5</v>
      </c>
      <c r="DO49" s="25"/>
      <c r="DP49" s="25"/>
      <c r="DQ49" s="25"/>
      <c r="DR49" s="26"/>
      <c r="DS49" s="26"/>
    </row>
    <row r="50" spans="1:123" ht="14.25" customHeight="1">
      <c r="A50" s="2">
        <v>4899</v>
      </c>
      <c r="B50" s="3" t="s">
        <v>42</v>
      </c>
      <c r="C50" s="3" t="s">
        <v>44</v>
      </c>
      <c r="D50" s="4">
        <v>48</v>
      </c>
      <c r="E50" s="3" t="s">
        <v>150</v>
      </c>
      <c r="F50" s="3" t="s">
        <v>148</v>
      </c>
      <c r="G50" s="4" t="s">
        <v>151</v>
      </c>
      <c r="H50" s="4" t="b">
        <v>1</v>
      </c>
      <c r="I50" s="4" t="b">
        <v>1</v>
      </c>
      <c r="J50" s="5" t="s">
        <v>151</v>
      </c>
      <c r="K50" s="5" t="s">
        <v>44</v>
      </c>
      <c r="L50" s="5" t="s">
        <v>150</v>
      </c>
      <c r="M50" s="5" t="s">
        <v>148</v>
      </c>
      <c r="N50" s="2" t="s">
        <v>13</v>
      </c>
      <c r="O50" s="2" t="s">
        <v>399</v>
      </c>
      <c r="P50" s="2">
        <v>70840</v>
      </c>
      <c r="Q50" s="2" t="s">
        <v>400</v>
      </c>
      <c r="R50" s="2">
        <v>148</v>
      </c>
      <c r="S50" s="2">
        <v>110</v>
      </c>
      <c r="T50" s="2">
        <v>110</v>
      </c>
      <c r="U50" s="2">
        <v>1</v>
      </c>
      <c r="V50" s="2">
        <v>109</v>
      </c>
      <c r="W50" s="2">
        <v>101</v>
      </c>
      <c r="X50" s="2">
        <v>5</v>
      </c>
      <c r="Y50" s="2">
        <v>0</v>
      </c>
      <c r="Z50" s="2">
        <v>0</v>
      </c>
      <c r="AA50" s="2">
        <v>1</v>
      </c>
      <c r="AB50" s="2">
        <v>2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148</v>
      </c>
      <c r="AQ50" s="2">
        <v>110</v>
      </c>
      <c r="AR50" s="2">
        <v>110</v>
      </c>
      <c r="AS50" s="2">
        <v>1</v>
      </c>
      <c r="AT50" s="2">
        <v>109</v>
      </c>
      <c r="AU50" s="2">
        <v>4</v>
      </c>
      <c r="AV50" s="2">
        <v>0</v>
      </c>
      <c r="AW50" s="2">
        <v>0</v>
      </c>
      <c r="AX50" s="2">
        <v>1</v>
      </c>
      <c r="AY50" s="2">
        <v>0</v>
      </c>
      <c r="AZ50" s="2">
        <v>103</v>
      </c>
      <c r="BA50" s="2">
        <v>1</v>
      </c>
      <c r="BB50" s="2">
        <v>0</v>
      </c>
      <c r="BC50" s="11" t="s">
        <v>13</v>
      </c>
      <c r="BD50" s="11" t="s">
        <v>424</v>
      </c>
      <c r="BE50" s="11">
        <v>70840</v>
      </c>
      <c r="BF50" s="11" t="s">
        <v>400</v>
      </c>
      <c r="BG50" s="11">
        <v>48</v>
      </c>
      <c r="BH50" s="11">
        <v>140</v>
      </c>
      <c r="BI50" s="11">
        <v>81</v>
      </c>
      <c r="BJ50" s="11">
        <v>81</v>
      </c>
      <c r="BK50" s="11">
        <v>1</v>
      </c>
      <c r="BL50" s="11">
        <v>80</v>
      </c>
      <c r="BM50" s="11">
        <v>80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>
        <f t="shared" si="0"/>
        <v>80</v>
      </c>
      <c r="CF50">
        <f t="shared" si="1"/>
        <v>0</v>
      </c>
      <c r="CG50">
        <f t="shared" si="2"/>
        <v>0</v>
      </c>
      <c r="CH50">
        <f t="shared" si="3"/>
        <v>0</v>
      </c>
      <c r="CI50">
        <v>0</v>
      </c>
      <c r="CJ50" s="11">
        <v>140</v>
      </c>
      <c r="CK50" s="14">
        <v>0.57857142857142863</v>
      </c>
      <c r="CL50" s="14">
        <v>0.98765432098765427</v>
      </c>
      <c r="CM50" s="14">
        <v>0</v>
      </c>
      <c r="CN50" s="14">
        <v>0</v>
      </c>
      <c r="CO50" s="14">
        <v>0</v>
      </c>
      <c r="CP50" s="14">
        <v>0</v>
      </c>
      <c r="CQ50" s="30">
        <v>8</v>
      </c>
      <c r="CR50" s="15">
        <v>106</v>
      </c>
      <c r="CS50">
        <v>2</v>
      </c>
      <c r="CT50">
        <v>1</v>
      </c>
      <c r="CV50">
        <v>0</v>
      </c>
      <c r="CW50" s="14">
        <v>0.7432432432432432</v>
      </c>
      <c r="CX50" s="14">
        <v>0.96363636363636362</v>
      </c>
      <c r="CY50" s="14">
        <v>1.8181818181818181E-2</v>
      </c>
      <c r="CZ50" s="14">
        <v>9.0909090909090905E-3</v>
      </c>
      <c r="DA50" s="14">
        <v>0</v>
      </c>
      <c r="DB50" s="14">
        <v>0</v>
      </c>
      <c r="DC50" s="30">
        <v>8</v>
      </c>
      <c r="DD50" s="14" t="s">
        <v>488</v>
      </c>
      <c r="DE50" s="17" t="s">
        <v>439</v>
      </c>
      <c r="DF50" s="17" t="s">
        <v>439</v>
      </c>
      <c r="DG50" s="17" t="s">
        <v>442</v>
      </c>
      <c r="DH50" s="21">
        <v>26</v>
      </c>
      <c r="DI50" s="16">
        <v>140</v>
      </c>
      <c r="DJ50" s="16">
        <v>0</v>
      </c>
      <c r="DK50" s="16">
        <v>81</v>
      </c>
      <c r="DL50" s="23">
        <v>0.57857142857142863</v>
      </c>
      <c r="DM50" s="16">
        <v>0</v>
      </c>
      <c r="DN50">
        <v>0</v>
      </c>
      <c r="DO50" s="25"/>
      <c r="DP50" s="25"/>
      <c r="DQ50" s="25"/>
      <c r="DR50" s="26"/>
      <c r="DS50" s="26"/>
    </row>
    <row r="51" spans="1:123" ht="14.25" customHeight="1">
      <c r="A51" s="2">
        <v>4900</v>
      </c>
      <c r="B51" s="3" t="s">
        <v>42</v>
      </c>
      <c r="C51" s="3" t="s">
        <v>44</v>
      </c>
      <c r="D51" s="4">
        <v>49</v>
      </c>
      <c r="E51" s="3" t="s">
        <v>152</v>
      </c>
      <c r="F51" s="3" t="s">
        <v>153</v>
      </c>
      <c r="G51" s="4" t="s">
        <v>154</v>
      </c>
      <c r="H51" s="4" t="b">
        <v>1</v>
      </c>
      <c r="I51" s="4" t="b">
        <v>1</v>
      </c>
      <c r="J51" s="5" t="s">
        <v>154</v>
      </c>
      <c r="K51" s="5" t="s">
        <v>44</v>
      </c>
      <c r="L51" s="5" t="s">
        <v>152</v>
      </c>
      <c r="M51" s="5" t="s">
        <v>153</v>
      </c>
      <c r="N51" s="2" t="s">
        <v>13</v>
      </c>
      <c r="O51" s="2" t="s">
        <v>399</v>
      </c>
      <c r="P51" s="2">
        <v>70840</v>
      </c>
      <c r="Q51" s="2" t="s">
        <v>400</v>
      </c>
      <c r="R51" s="2">
        <v>235</v>
      </c>
      <c r="S51" s="2">
        <v>156</v>
      </c>
      <c r="T51" s="2">
        <v>156</v>
      </c>
      <c r="U51" s="2">
        <v>6</v>
      </c>
      <c r="V51" s="2">
        <v>150</v>
      </c>
      <c r="W51" s="2">
        <v>119</v>
      </c>
      <c r="X51" s="2">
        <v>20</v>
      </c>
      <c r="Y51" s="2">
        <v>1</v>
      </c>
      <c r="Z51" s="2">
        <v>2</v>
      </c>
      <c r="AA51" s="2">
        <v>3</v>
      </c>
      <c r="AB51" s="2">
        <v>4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</v>
      </c>
      <c r="AO51" s="2">
        <v>0</v>
      </c>
      <c r="AP51" s="2">
        <v>235</v>
      </c>
      <c r="AQ51" s="2">
        <v>162</v>
      </c>
      <c r="AR51" s="2">
        <v>162</v>
      </c>
      <c r="AS51" s="2">
        <v>1</v>
      </c>
      <c r="AT51" s="2">
        <v>161</v>
      </c>
      <c r="AU51" s="2">
        <v>1</v>
      </c>
      <c r="AV51" s="2">
        <v>1</v>
      </c>
      <c r="AW51" s="2">
        <v>0</v>
      </c>
      <c r="AX51" s="2">
        <v>11</v>
      </c>
      <c r="AY51" s="2">
        <v>2</v>
      </c>
      <c r="AZ51" s="2">
        <v>144</v>
      </c>
      <c r="BA51" s="2">
        <v>0</v>
      </c>
      <c r="BB51" s="2">
        <v>2</v>
      </c>
      <c r="BC51" s="11" t="s">
        <v>13</v>
      </c>
      <c r="BD51" s="11" t="s">
        <v>424</v>
      </c>
      <c r="BE51" s="11">
        <v>70840</v>
      </c>
      <c r="BF51" s="11" t="s">
        <v>400</v>
      </c>
      <c r="BG51" s="11">
        <v>49</v>
      </c>
      <c r="BH51" s="11">
        <v>223</v>
      </c>
      <c r="BI51" s="11">
        <v>137</v>
      </c>
      <c r="BJ51" s="11">
        <v>137</v>
      </c>
      <c r="BK51" s="11">
        <v>2</v>
      </c>
      <c r="BL51" s="11">
        <v>135</v>
      </c>
      <c r="BM51" s="11">
        <v>95</v>
      </c>
      <c r="BN51" s="11">
        <v>19</v>
      </c>
      <c r="BO51" s="11">
        <v>1</v>
      </c>
      <c r="BP51" s="11">
        <v>4</v>
      </c>
      <c r="BQ51" s="11">
        <v>2</v>
      </c>
      <c r="BR51" s="11">
        <v>0</v>
      </c>
      <c r="BS51" s="11">
        <v>12</v>
      </c>
      <c r="BT51" s="11">
        <v>1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1</v>
      </c>
      <c r="CA51" s="11">
        <v>0</v>
      </c>
      <c r="CB51" s="11">
        <v>0</v>
      </c>
      <c r="CC51" s="11">
        <v>0</v>
      </c>
      <c r="CD51" s="11">
        <v>0</v>
      </c>
      <c r="CE51">
        <f t="shared" si="0"/>
        <v>115</v>
      </c>
      <c r="CF51">
        <f t="shared" si="1"/>
        <v>6</v>
      </c>
      <c r="CG51">
        <f t="shared" si="2"/>
        <v>12</v>
      </c>
      <c r="CH51">
        <f t="shared" si="3"/>
        <v>1</v>
      </c>
      <c r="CI51">
        <v>1</v>
      </c>
      <c r="CJ51" s="11">
        <v>223</v>
      </c>
      <c r="CK51" s="14">
        <v>0.61434977578475336</v>
      </c>
      <c r="CL51" s="14">
        <v>0.83941605839416056</v>
      </c>
      <c r="CM51" s="14">
        <v>4.3795620437956206E-2</v>
      </c>
      <c r="CN51" s="14">
        <v>8.7591240875912413E-2</v>
      </c>
      <c r="CO51" s="14">
        <v>7.2992700729927005E-3</v>
      </c>
      <c r="CP51" s="14">
        <v>7.2992700729927005E-3</v>
      </c>
      <c r="CQ51" s="30">
        <v>8</v>
      </c>
      <c r="CR51" s="15">
        <v>141</v>
      </c>
      <c r="CS51">
        <v>4</v>
      </c>
      <c r="CT51">
        <v>3</v>
      </c>
      <c r="CV51">
        <v>2</v>
      </c>
      <c r="CW51" s="14">
        <v>0.66382978723404251</v>
      </c>
      <c r="CX51" s="14">
        <v>0.90384615384615385</v>
      </c>
      <c r="CY51" s="14">
        <v>2.564102564102564E-2</v>
      </c>
      <c r="CZ51" s="14">
        <v>1.9230769230769232E-2</v>
      </c>
      <c r="DA51" s="14">
        <v>0</v>
      </c>
      <c r="DB51" s="14">
        <v>1.282051282051282E-2</v>
      </c>
      <c r="DC51" s="30">
        <v>8</v>
      </c>
      <c r="DD51" s="14" t="s">
        <v>488</v>
      </c>
      <c r="DE51" s="17" t="s">
        <v>439</v>
      </c>
      <c r="DF51" s="17" t="s">
        <v>439</v>
      </c>
      <c r="DG51" s="17" t="s">
        <v>442</v>
      </c>
      <c r="DH51" s="21">
        <v>55.91</v>
      </c>
      <c r="DI51" s="16">
        <v>223</v>
      </c>
      <c r="DJ51" s="16">
        <v>0</v>
      </c>
      <c r="DK51" s="16">
        <v>137</v>
      </c>
      <c r="DL51" s="23">
        <v>0.61434977578475336</v>
      </c>
      <c r="DM51" s="16">
        <v>0</v>
      </c>
      <c r="DN51">
        <v>0</v>
      </c>
      <c r="DO51" s="25"/>
      <c r="DP51" s="25"/>
      <c r="DQ51" s="25"/>
      <c r="DR51" s="26"/>
      <c r="DS51" s="26"/>
    </row>
    <row r="52" spans="1:123" ht="14.25" customHeight="1">
      <c r="A52" s="2">
        <v>4901</v>
      </c>
      <c r="B52" s="3" t="s">
        <v>42</v>
      </c>
      <c r="C52" s="3" t="s">
        <v>44</v>
      </c>
      <c r="D52" s="4">
        <v>50</v>
      </c>
      <c r="E52" s="3" t="s">
        <v>155</v>
      </c>
      <c r="F52" s="3" t="s">
        <v>156</v>
      </c>
      <c r="G52" s="4" t="s">
        <v>157</v>
      </c>
      <c r="H52" s="4" t="b">
        <v>1</v>
      </c>
      <c r="I52" s="4" t="b">
        <v>1</v>
      </c>
      <c r="J52" s="5" t="s">
        <v>157</v>
      </c>
      <c r="K52" s="5" t="s">
        <v>44</v>
      </c>
      <c r="L52" s="5" t="s">
        <v>155</v>
      </c>
      <c r="M52" s="5" t="s">
        <v>156</v>
      </c>
      <c r="N52" s="2" t="s">
        <v>13</v>
      </c>
      <c r="O52" s="2" t="s">
        <v>399</v>
      </c>
      <c r="P52" s="2">
        <v>70840</v>
      </c>
      <c r="Q52" s="2" t="s">
        <v>400</v>
      </c>
      <c r="R52" s="2">
        <v>417</v>
      </c>
      <c r="S52" s="2">
        <v>214</v>
      </c>
      <c r="T52" s="2">
        <v>213</v>
      </c>
      <c r="U52" s="2">
        <v>8</v>
      </c>
      <c r="V52" s="2">
        <v>205</v>
      </c>
      <c r="W52" s="2">
        <v>159</v>
      </c>
      <c r="X52" s="2">
        <v>20</v>
      </c>
      <c r="Y52" s="2">
        <v>0</v>
      </c>
      <c r="Z52" s="2">
        <v>3</v>
      </c>
      <c r="AA52" s="2">
        <v>11</v>
      </c>
      <c r="AB52" s="2">
        <v>3</v>
      </c>
      <c r="AC52" s="2">
        <v>6</v>
      </c>
      <c r="AD52" s="2">
        <v>0</v>
      </c>
      <c r="AE52" s="2">
        <v>0</v>
      </c>
      <c r="AF52" s="2">
        <v>1</v>
      </c>
      <c r="AG52" s="2">
        <v>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417</v>
      </c>
      <c r="AQ52" s="2">
        <v>214</v>
      </c>
      <c r="AR52" s="2">
        <v>213</v>
      </c>
      <c r="AS52" s="2">
        <v>5</v>
      </c>
      <c r="AT52" s="2">
        <v>208</v>
      </c>
      <c r="AU52" s="2">
        <v>1</v>
      </c>
      <c r="AV52" s="2">
        <v>1</v>
      </c>
      <c r="AW52" s="2">
        <v>0</v>
      </c>
      <c r="AX52" s="2">
        <v>12</v>
      </c>
      <c r="AY52" s="2">
        <v>5</v>
      </c>
      <c r="AZ52" s="2">
        <v>182</v>
      </c>
      <c r="BA52" s="2">
        <v>3</v>
      </c>
      <c r="BB52" s="2">
        <v>4</v>
      </c>
      <c r="BC52" s="11" t="s">
        <v>13</v>
      </c>
      <c r="BD52" s="11" t="s">
        <v>424</v>
      </c>
      <c r="BE52" s="11">
        <v>70840</v>
      </c>
      <c r="BF52" s="11" t="s">
        <v>400</v>
      </c>
      <c r="BG52" s="11">
        <v>50</v>
      </c>
      <c r="BH52" s="11">
        <v>426</v>
      </c>
      <c r="BI52" s="11">
        <v>207</v>
      </c>
      <c r="BJ52" s="11">
        <v>207</v>
      </c>
      <c r="BK52" s="11">
        <v>2</v>
      </c>
      <c r="BL52" s="11">
        <v>205</v>
      </c>
      <c r="BM52" s="11">
        <v>164</v>
      </c>
      <c r="BN52" s="11">
        <v>10</v>
      </c>
      <c r="BO52" s="11">
        <v>2</v>
      </c>
      <c r="BP52" s="11">
        <v>2</v>
      </c>
      <c r="BQ52" s="11">
        <v>4</v>
      </c>
      <c r="BR52" s="11">
        <v>1</v>
      </c>
      <c r="BS52" s="11">
        <v>17</v>
      </c>
      <c r="BT52" s="11">
        <v>0</v>
      </c>
      <c r="BU52" s="11">
        <v>0</v>
      </c>
      <c r="BV52" s="11">
        <v>0</v>
      </c>
      <c r="BW52" s="11">
        <v>0</v>
      </c>
      <c r="BX52" s="11">
        <v>1</v>
      </c>
      <c r="BY52" s="11">
        <v>0</v>
      </c>
      <c r="BZ52" s="11">
        <v>3</v>
      </c>
      <c r="CA52" s="11">
        <v>0</v>
      </c>
      <c r="CB52" s="11">
        <v>1</v>
      </c>
      <c r="CC52" s="11">
        <v>0</v>
      </c>
      <c r="CD52" s="11">
        <v>0</v>
      </c>
      <c r="CE52">
        <f t="shared" si="0"/>
        <v>176</v>
      </c>
      <c r="CF52">
        <f t="shared" si="1"/>
        <v>6</v>
      </c>
      <c r="CG52">
        <f t="shared" si="2"/>
        <v>18</v>
      </c>
      <c r="CH52">
        <f t="shared" si="3"/>
        <v>3</v>
      </c>
      <c r="CI52">
        <v>2</v>
      </c>
      <c r="CJ52" s="11">
        <v>426</v>
      </c>
      <c r="CK52" s="14">
        <v>0.4859154929577465</v>
      </c>
      <c r="CL52" s="14">
        <v>0.85024154589371981</v>
      </c>
      <c r="CM52" s="14">
        <v>2.8985507246376812E-2</v>
      </c>
      <c r="CN52" s="14">
        <v>8.6956521739130432E-2</v>
      </c>
      <c r="CO52" s="14">
        <v>1.4492753623188406E-2</v>
      </c>
      <c r="CP52" s="14">
        <v>9.6618357487922701E-3</v>
      </c>
      <c r="CQ52" s="30">
        <v>5</v>
      </c>
      <c r="CR52" s="15">
        <v>182</v>
      </c>
      <c r="CS52">
        <v>12</v>
      </c>
      <c r="CT52">
        <v>11</v>
      </c>
      <c r="CV52">
        <v>0</v>
      </c>
      <c r="CW52" s="14">
        <v>0.51318944844124703</v>
      </c>
      <c r="CX52" s="14">
        <v>0.85046728971962615</v>
      </c>
      <c r="CY52" s="14">
        <v>5.6074766355140186E-2</v>
      </c>
      <c r="CZ52" s="14">
        <v>5.1401869158878503E-2</v>
      </c>
      <c r="DA52" s="14">
        <v>0</v>
      </c>
      <c r="DB52" s="14">
        <v>0</v>
      </c>
      <c r="DC52" s="30">
        <v>6</v>
      </c>
      <c r="DD52" s="14" t="s">
        <v>476</v>
      </c>
      <c r="DE52" s="17" t="s">
        <v>437</v>
      </c>
      <c r="DF52" s="17" t="s">
        <v>438</v>
      </c>
      <c r="DG52" s="17" t="s">
        <v>455</v>
      </c>
      <c r="DH52" s="21">
        <v>116.68</v>
      </c>
      <c r="DI52" s="16">
        <v>426</v>
      </c>
      <c r="DJ52" s="16">
        <v>0</v>
      </c>
      <c r="DK52" s="16">
        <v>207</v>
      </c>
      <c r="DL52" s="23">
        <v>0.4859154929577465</v>
      </c>
      <c r="DM52" s="16">
        <v>1</v>
      </c>
      <c r="DN52">
        <v>5</v>
      </c>
      <c r="DO52" s="25"/>
      <c r="DP52" s="25"/>
      <c r="DQ52" s="25"/>
      <c r="DR52" s="26"/>
      <c r="DS52" s="26"/>
    </row>
    <row r="53" spans="1:123" ht="14.25" customHeight="1">
      <c r="A53" s="2">
        <v>4902</v>
      </c>
      <c r="B53" s="3" t="s">
        <v>42</v>
      </c>
      <c r="C53" s="3" t="s">
        <v>44</v>
      </c>
      <c r="D53" s="4">
        <v>51</v>
      </c>
      <c r="E53" s="3" t="s">
        <v>130</v>
      </c>
      <c r="F53" s="3" t="s">
        <v>156</v>
      </c>
      <c r="G53" s="4" t="s">
        <v>158</v>
      </c>
      <c r="H53" s="4" t="b">
        <v>1</v>
      </c>
      <c r="I53" s="4" t="b">
        <v>1</v>
      </c>
      <c r="J53" s="5" t="s">
        <v>158</v>
      </c>
      <c r="K53" s="5" t="s">
        <v>44</v>
      </c>
      <c r="L53" s="5" t="s">
        <v>130</v>
      </c>
      <c r="M53" s="5" t="s">
        <v>156</v>
      </c>
      <c r="N53" s="2" t="s">
        <v>13</v>
      </c>
      <c r="O53" s="2" t="s">
        <v>399</v>
      </c>
      <c r="P53" s="2">
        <v>70840</v>
      </c>
      <c r="Q53" s="2" t="s">
        <v>400</v>
      </c>
      <c r="R53" s="2">
        <v>397</v>
      </c>
      <c r="S53" s="2">
        <v>187</v>
      </c>
      <c r="T53" s="2">
        <v>187</v>
      </c>
      <c r="U53" s="2">
        <v>18</v>
      </c>
      <c r="V53" s="2">
        <v>169</v>
      </c>
      <c r="W53" s="2">
        <v>128</v>
      </c>
      <c r="X53" s="2">
        <v>21</v>
      </c>
      <c r="Y53" s="2">
        <v>0</v>
      </c>
      <c r="Z53" s="2">
        <v>3</v>
      </c>
      <c r="AA53" s="2">
        <v>5</v>
      </c>
      <c r="AB53" s="2">
        <v>2</v>
      </c>
      <c r="AC53" s="2">
        <v>4</v>
      </c>
      <c r="AD53" s="2">
        <v>0</v>
      </c>
      <c r="AE53" s="2">
        <v>0</v>
      </c>
      <c r="AF53" s="2">
        <v>2</v>
      </c>
      <c r="AG53" s="2">
        <v>1</v>
      </c>
      <c r="AH53" s="2">
        <v>0</v>
      </c>
      <c r="AI53" s="2">
        <v>0</v>
      </c>
      <c r="AJ53" s="2">
        <v>0</v>
      </c>
      <c r="AK53" s="2">
        <v>1</v>
      </c>
      <c r="AL53" s="2">
        <v>0</v>
      </c>
      <c r="AM53" s="2">
        <v>2</v>
      </c>
      <c r="AN53" s="2">
        <v>0</v>
      </c>
      <c r="AO53" s="2">
        <v>0</v>
      </c>
      <c r="AP53" s="2">
        <v>397</v>
      </c>
      <c r="AQ53" s="2">
        <v>187</v>
      </c>
      <c r="AR53" s="2">
        <v>187</v>
      </c>
      <c r="AS53" s="2">
        <v>11</v>
      </c>
      <c r="AT53" s="2">
        <v>176</v>
      </c>
      <c r="AU53" s="2">
        <v>1</v>
      </c>
      <c r="AV53" s="2">
        <v>0</v>
      </c>
      <c r="AW53" s="2">
        <v>1</v>
      </c>
      <c r="AX53" s="2">
        <v>6</v>
      </c>
      <c r="AY53" s="2">
        <v>5</v>
      </c>
      <c r="AZ53" s="2">
        <v>158</v>
      </c>
      <c r="BA53" s="2">
        <v>2</v>
      </c>
      <c r="BB53" s="2">
        <v>3</v>
      </c>
      <c r="BC53" s="11" t="s">
        <v>13</v>
      </c>
      <c r="BD53" s="11" t="s">
        <v>424</v>
      </c>
      <c r="BE53" s="11">
        <v>70840</v>
      </c>
      <c r="BF53" s="11" t="s">
        <v>400</v>
      </c>
      <c r="BG53" s="11">
        <v>51</v>
      </c>
      <c r="BH53" s="11">
        <v>396</v>
      </c>
      <c r="BI53" s="11">
        <v>206</v>
      </c>
      <c r="BJ53" s="11">
        <v>206</v>
      </c>
      <c r="BK53" s="11">
        <v>17</v>
      </c>
      <c r="BL53" s="11">
        <v>189</v>
      </c>
      <c r="BM53" s="11">
        <v>154</v>
      </c>
      <c r="BN53" s="11">
        <v>13</v>
      </c>
      <c r="BO53" s="11">
        <v>2</v>
      </c>
      <c r="BP53" s="11">
        <v>1</v>
      </c>
      <c r="BQ53" s="11">
        <v>0</v>
      </c>
      <c r="BR53" s="11">
        <v>1</v>
      </c>
      <c r="BS53" s="11">
        <v>11</v>
      </c>
      <c r="BT53" s="11">
        <v>0</v>
      </c>
      <c r="BU53" s="11">
        <v>0</v>
      </c>
      <c r="BV53" s="11">
        <v>0</v>
      </c>
      <c r="BW53" s="11">
        <v>0</v>
      </c>
      <c r="BX53" s="11">
        <v>1</v>
      </c>
      <c r="BY53" s="11">
        <v>0</v>
      </c>
      <c r="BZ53" s="11">
        <v>6</v>
      </c>
      <c r="CA53" s="11">
        <v>0</v>
      </c>
      <c r="CB53" s="11">
        <v>0</v>
      </c>
      <c r="CC53" s="11">
        <v>0</v>
      </c>
      <c r="CD53" s="11">
        <v>0</v>
      </c>
      <c r="CE53">
        <f t="shared" si="0"/>
        <v>169</v>
      </c>
      <c r="CF53">
        <f t="shared" si="1"/>
        <v>1</v>
      </c>
      <c r="CG53">
        <f t="shared" si="2"/>
        <v>12</v>
      </c>
      <c r="CH53">
        <f t="shared" si="3"/>
        <v>6</v>
      </c>
      <c r="CI53">
        <v>1</v>
      </c>
      <c r="CJ53" s="11">
        <v>396</v>
      </c>
      <c r="CK53" s="14">
        <v>0.52020202020202022</v>
      </c>
      <c r="CL53" s="14">
        <v>0.82038834951456308</v>
      </c>
      <c r="CM53" s="14">
        <v>4.8543689320388345E-3</v>
      </c>
      <c r="CN53" s="14">
        <v>5.8252427184466021E-2</v>
      </c>
      <c r="CO53" s="14">
        <v>2.9126213592233011E-2</v>
      </c>
      <c r="CP53" s="14">
        <v>4.8543689320388345E-3</v>
      </c>
      <c r="CQ53" s="30">
        <v>6</v>
      </c>
      <c r="CR53" s="15">
        <v>152</v>
      </c>
      <c r="CS53">
        <v>9</v>
      </c>
      <c r="CT53">
        <v>7</v>
      </c>
      <c r="CV53">
        <v>1</v>
      </c>
      <c r="CW53" s="14">
        <v>0.47103274559193953</v>
      </c>
      <c r="CX53" s="14">
        <v>0.81283422459893051</v>
      </c>
      <c r="CY53" s="14">
        <v>4.8128342245989303E-2</v>
      </c>
      <c r="CZ53" s="14">
        <v>3.7433155080213901E-2</v>
      </c>
      <c r="DA53" s="14">
        <v>0</v>
      </c>
      <c r="DB53" s="14">
        <v>5.3475935828877002E-3</v>
      </c>
      <c r="DC53" s="30">
        <v>5</v>
      </c>
      <c r="DD53" s="14" t="s">
        <v>472</v>
      </c>
      <c r="DE53" s="17" t="s">
        <v>438</v>
      </c>
      <c r="DF53" s="17" t="s">
        <v>437</v>
      </c>
      <c r="DG53" s="17" t="s">
        <v>445</v>
      </c>
      <c r="DH53" s="21">
        <v>98.81</v>
      </c>
      <c r="DI53" s="16">
        <v>396</v>
      </c>
      <c r="DJ53" s="16">
        <v>0</v>
      </c>
      <c r="DK53" s="16">
        <v>206</v>
      </c>
      <c r="DL53" s="23">
        <v>0.52020202020202022</v>
      </c>
      <c r="DM53" s="16">
        <v>1</v>
      </c>
      <c r="DN53">
        <v>6</v>
      </c>
      <c r="DO53" s="25"/>
      <c r="DP53" s="25"/>
      <c r="DQ53" s="25"/>
      <c r="DR53" s="26"/>
      <c r="DS53" s="26"/>
    </row>
    <row r="54" spans="1:123" ht="14.25" customHeight="1">
      <c r="A54" s="2">
        <v>4903</v>
      </c>
      <c r="B54" s="3" t="s">
        <v>42</v>
      </c>
      <c r="C54" s="3" t="s">
        <v>44</v>
      </c>
      <c r="D54" s="4">
        <v>52</v>
      </c>
      <c r="E54" s="3" t="s">
        <v>17</v>
      </c>
      <c r="F54" s="3" t="s">
        <v>156</v>
      </c>
      <c r="G54" s="4" t="s">
        <v>159</v>
      </c>
      <c r="H54" s="4" t="b">
        <v>1</v>
      </c>
      <c r="I54" s="4" t="b">
        <v>1</v>
      </c>
      <c r="J54" s="5" t="s">
        <v>159</v>
      </c>
      <c r="K54" s="5" t="s">
        <v>44</v>
      </c>
      <c r="L54" s="5" t="s">
        <v>17</v>
      </c>
      <c r="M54" s="5" t="s">
        <v>156</v>
      </c>
      <c r="N54" s="2" t="s">
        <v>13</v>
      </c>
      <c r="O54" s="2" t="s">
        <v>399</v>
      </c>
      <c r="P54" s="2">
        <v>70840</v>
      </c>
      <c r="Q54" s="2" t="s">
        <v>400</v>
      </c>
      <c r="R54" s="2">
        <v>464</v>
      </c>
      <c r="S54" s="2">
        <v>237</v>
      </c>
      <c r="T54" s="2">
        <v>236</v>
      </c>
      <c r="U54" s="2">
        <v>6</v>
      </c>
      <c r="V54" s="2">
        <v>230</v>
      </c>
      <c r="W54" s="2">
        <v>180</v>
      </c>
      <c r="X54" s="2">
        <v>20</v>
      </c>
      <c r="Y54" s="2">
        <v>1</v>
      </c>
      <c r="Z54" s="2">
        <v>6</v>
      </c>
      <c r="AA54" s="2">
        <v>5</v>
      </c>
      <c r="AB54" s="2">
        <v>0</v>
      </c>
      <c r="AC54" s="2">
        <v>4</v>
      </c>
      <c r="AD54" s="2">
        <v>2</v>
      </c>
      <c r="AE54" s="2">
        <v>1</v>
      </c>
      <c r="AF54" s="2">
        <v>1</v>
      </c>
      <c r="AG54" s="2">
        <v>7</v>
      </c>
      <c r="AH54" s="2">
        <v>1</v>
      </c>
      <c r="AI54" s="2">
        <v>0</v>
      </c>
      <c r="AJ54" s="2">
        <v>2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464</v>
      </c>
      <c r="AQ54" s="2">
        <v>237</v>
      </c>
      <c r="AR54" s="2">
        <v>237</v>
      </c>
      <c r="AS54" s="2">
        <v>6</v>
      </c>
      <c r="AT54" s="2">
        <v>231</v>
      </c>
      <c r="AU54" s="2">
        <v>0</v>
      </c>
      <c r="AV54" s="2">
        <v>1</v>
      </c>
      <c r="AW54" s="2">
        <v>2</v>
      </c>
      <c r="AX54" s="2">
        <v>5</v>
      </c>
      <c r="AY54" s="2">
        <v>9</v>
      </c>
      <c r="AZ54" s="2">
        <v>210</v>
      </c>
      <c r="BA54" s="2">
        <v>0</v>
      </c>
      <c r="BB54" s="2">
        <v>4</v>
      </c>
      <c r="BC54" s="11" t="s">
        <v>13</v>
      </c>
      <c r="BD54" s="11" t="s">
        <v>424</v>
      </c>
      <c r="BE54" s="11">
        <v>70840</v>
      </c>
      <c r="BF54" s="11" t="s">
        <v>400</v>
      </c>
      <c r="BG54" s="11">
        <v>52</v>
      </c>
      <c r="BH54" s="11">
        <v>435</v>
      </c>
      <c r="BI54" s="11">
        <v>246</v>
      </c>
      <c r="BJ54" s="11">
        <v>246</v>
      </c>
      <c r="BK54" s="11">
        <v>25</v>
      </c>
      <c r="BL54" s="11">
        <v>221</v>
      </c>
      <c r="BM54" s="11">
        <v>195</v>
      </c>
      <c r="BN54" s="11">
        <v>5</v>
      </c>
      <c r="BO54" s="11">
        <v>6</v>
      </c>
      <c r="BP54" s="11">
        <v>0</v>
      </c>
      <c r="BQ54" s="11">
        <v>0</v>
      </c>
      <c r="BR54" s="11">
        <v>0</v>
      </c>
      <c r="BS54" s="11">
        <v>12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2</v>
      </c>
      <c r="CA54" s="11">
        <v>0</v>
      </c>
      <c r="CB54" s="11">
        <v>0</v>
      </c>
      <c r="CC54" s="11">
        <v>1</v>
      </c>
      <c r="CD54" s="11">
        <v>0</v>
      </c>
      <c r="CE54">
        <f t="shared" si="0"/>
        <v>206</v>
      </c>
      <c r="CF54">
        <f t="shared" si="1"/>
        <v>0</v>
      </c>
      <c r="CG54">
        <f t="shared" si="2"/>
        <v>12</v>
      </c>
      <c r="CH54">
        <f t="shared" si="3"/>
        <v>2</v>
      </c>
      <c r="CI54">
        <v>0</v>
      </c>
      <c r="CJ54" s="11">
        <v>435</v>
      </c>
      <c r="CK54" s="14">
        <v>0.56551724137931036</v>
      </c>
      <c r="CL54" s="14">
        <v>0.83739837398373984</v>
      </c>
      <c r="CM54" s="14">
        <v>0</v>
      </c>
      <c r="CN54" s="14">
        <v>5.2845528455284556E-2</v>
      </c>
      <c r="CO54" s="14">
        <v>8.130081300813009E-3</v>
      </c>
      <c r="CP54" s="14">
        <v>0</v>
      </c>
      <c r="CQ54" s="30">
        <v>8</v>
      </c>
      <c r="CR54" s="15">
        <v>206</v>
      </c>
      <c r="CS54">
        <v>12</v>
      </c>
      <c r="CT54">
        <v>9</v>
      </c>
      <c r="CV54">
        <v>3</v>
      </c>
      <c r="CW54" s="14">
        <v>0.51077586206896552</v>
      </c>
      <c r="CX54" s="14">
        <v>0.86919831223628696</v>
      </c>
      <c r="CY54" s="14">
        <v>5.0632911392405063E-2</v>
      </c>
      <c r="CZ54" s="14">
        <v>3.7974683544303799E-2</v>
      </c>
      <c r="DA54" s="14">
        <v>0</v>
      </c>
      <c r="DB54" s="14">
        <v>1.2658227848101266E-2</v>
      </c>
      <c r="DC54" s="30">
        <v>6</v>
      </c>
      <c r="DD54" s="14" t="s">
        <v>489</v>
      </c>
      <c r="DE54" s="17" t="s">
        <v>439</v>
      </c>
      <c r="DF54" s="17" t="s">
        <v>438</v>
      </c>
      <c r="DG54" s="17" t="s">
        <v>444</v>
      </c>
      <c r="DH54" s="21">
        <v>95.73</v>
      </c>
      <c r="DI54" s="16">
        <v>435</v>
      </c>
      <c r="DJ54" s="16">
        <v>0</v>
      </c>
      <c r="DK54" s="16">
        <v>246</v>
      </c>
      <c r="DL54" s="23">
        <v>0.56551724137931036</v>
      </c>
      <c r="DM54" s="16">
        <v>0</v>
      </c>
      <c r="DN54">
        <v>0</v>
      </c>
      <c r="DO54" s="25"/>
      <c r="DP54" s="25"/>
      <c r="DQ54" s="25"/>
      <c r="DR54" s="26"/>
      <c r="DS54" s="26"/>
    </row>
    <row r="55" spans="1:123" ht="14.25" customHeight="1">
      <c r="A55" s="2">
        <v>4904</v>
      </c>
      <c r="B55" s="3" t="s">
        <v>42</v>
      </c>
      <c r="C55" s="3" t="s">
        <v>44</v>
      </c>
      <c r="D55" s="4">
        <v>53</v>
      </c>
      <c r="E55" s="3" t="s">
        <v>160</v>
      </c>
      <c r="F55" s="3" t="s">
        <v>161</v>
      </c>
      <c r="G55" s="4" t="s">
        <v>162</v>
      </c>
      <c r="H55" s="4" t="b">
        <v>1</v>
      </c>
      <c r="I55" s="4" t="b">
        <v>1</v>
      </c>
      <c r="J55" s="5" t="s">
        <v>162</v>
      </c>
      <c r="K55" s="5" t="s">
        <v>44</v>
      </c>
      <c r="L55" s="5" t="s">
        <v>160</v>
      </c>
      <c r="M55" s="5" t="s">
        <v>161</v>
      </c>
      <c r="N55" s="2" t="s">
        <v>13</v>
      </c>
      <c r="O55" s="2" t="s">
        <v>399</v>
      </c>
      <c r="P55" s="2">
        <v>70840</v>
      </c>
      <c r="Q55" s="2" t="s">
        <v>400</v>
      </c>
      <c r="R55" s="2">
        <v>435</v>
      </c>
      <c r="S55" s="2">
        <v>141</v>
      </c>
      <c r="T55" s="2">
        <v>141</v>
      </c>
      <c r="U55" s="2">
        <v>8</v>
      </c>
      <c r="V55" s="2">
        <v>133</v>
      </c>
      <c r="W55" s="2">
        <v>98</v>
      </c>
      <c r="X55" s="2">
        <v>22</v>
      </c>
      <c r="Y55" s="2">
        <v>0</v>
      </c>
      <c r="Z55" s="2">
        <v>1</v>
      </c>
      <c r="AA55" s="2">
        <v>3</v>
      </c>
      <c r="AB55" s="2">
        <v>1</v>
      </c>
      <c r="AC55" s="2">
        <v>5</v>
      </c>
      <c r="AD55" s="2">
        <v>0</v>
      </c>
      <c r="AE55" s="2">
        <v>0</v>
      </c>
      <c r="AF55" s="2">
        <v>0</v>
      </c>
      <c r="AG55" s="2">
        <v>3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435</v>
      </c>
      <c r="AQ55" s="2">
        <v>141</v>
      </c>
      <c r="AR55" s="2">
        <v>141</v>
      </c>
      <c r="AS55" s="2">
        <v>2</v>
      </c>
      <c r="AT55" s="2">
        <v>139</v>
      </c>
      <c r="AU55" s="2">
        <v>2</v>
      </c>
      <c r="AV55" s="2">
        <v>0</v>
      </c>
      <c r="AW55" s="2">
        <v>0</v>
      </c>
      <c r="AX55" s="2">
        <v>2</v>
      </c>
      <c r="AY55" s="2">
        <v>5</v>
      </c>
      <c r="AZ55" s="2">
        <v>125</v>
      </c>
      <c r="BA55" s="2">
        <v>0</v>
      </c>
      <c r="BB55" s="2">
        <v>5</v>
      </c>
      <c r="BC55" s="11" t="s">
        <v>13</v>
      </c>
      <c r="BD55" s="11" t="s">
        <v>424</v>
      </c>
      <c r="BE55" s="11">
        <v>70840</v>
      </c>
      <c r="BF55" s="11" t="s">
        <v>400</v>
      </c>
      <c r="BG55" s="11">
        <v>53</v>
      </c>
      <c r="BH55" s="11">
        <v>408</v>
      </c>
      <c r="BI55" s="11">
        <v>131</v>
      </c>
      <c r="BJ55" s="11">
        <v>131</v>
      </c>
      <c r="BK55" s="11">
        <v>2</v>
      </c>
      <c r="BL55" s="11">
        <v>129</v>
      </c>
      <c r="BM55" s="11">
        <v>101</v>
      </c>
      <c r="BN55" s="11">
        <v>10</v>
      </c>
      <c r="BO55" s="11">
        <v>1</v>
      </c>
      <c r="BP55" s="11">
        <v>4</v>
      </c>
      <c r="BQ55" s="11">
        <v>0</v>
      </c>
      <c r="BR55" s="11">
        <v>0</v>
      </c>
      <c r="BS55" s="11">
        <v>10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3</v>
      </c>
      <c r="CA55" s="11">
        <v>0</v>
      </c>
      <c r="CB55" s="11">
        <v>0</v>
      </c>
      <c r="CC55" s="11">
        <v>0</v>
      </c>
      <c r="CD55" s="11">
        <v>0</v>
      </c>
      <c r="CE55">
        <f t="shared" si="0"/>
        <v>112</v>
      </c>
      <c r="CF55">
        <f t="shared" si="1"/>
        <v>4</v>
      </c>
      <c r="CG55">
        <f t="shared" si="2"/>
        <v>10</v>
      </c>
      <c r="CH55">
        <f t="shared" si="3"/>
        <v>3</v>
      </c>
      <c r="CI55">
        <v>0</v>
      </c>
      <c r="CJ55" s="11">
        <v>408</v>
      </c>
      <c r="CK55" s="14">
        <v>0.32107843137254904</v>
      </c>
      <c r="CL55" s="14">
        <v>0.85496183206106868</v>
      </c>
      <c r="CM55" s="14">
        <v>3.0534351145038167E-2</v>
      </c>
      <c r="CN55" s="14">
        <v>7.6335877862595422E-2</v>
      </c>
      <c r="CO55" s="14">
        <v>2.2900763358778626E-2</v>
      </c>
      <c r="CP55" s="14">
        <v>0</v>
      </c>
      <c r="CQ55" s="30">
        <v>5</v>
      </c>
      <c r="CR55" s="15">
        <v>121</v>
      </c>
      <c r="CS55">
        <v>9</v>
      </c>
      <c r="CT55">
        <v>3</v>
      </c>
      <c r="CV55">
        <v>0</v>
      </c>
      <c r="CW55" s="14">
        <v>0.32413793103448274</v>
      </c>
      <c r="CX55" s="14">
        <v>0.85815602836879434</v>
      </c>
      <c r="CY55" s="14">
        <v>6.3829787234042548E-2</v>
      </c>
      <c r="CZ55" s="14">
        <v>2.1276595744680851E-2</v>
      </c>
      <c r="DA55" s="14">
        <v>0</v>
      </c>
      <c r="DB55" s="14">
        <v>0</v>
      </c>
      <c r="DC55" s="30">
        <v>5</v>
      </c>
      <c r="DD55" s="14" t="s">
        <v>474</v>
      </c>
      <c r="DE55" s="17" t="s">
        <v>437</v>
      </c>
      <c r="DF55" s="17" t="s">
        <v>437</v>
      </c>
      <c r="DG55" s="17" t="s">
        <v>453</v>
      </c>
      <c r="DH55" s="21">
        <v>128.63</v>
      </c>
      <c r="DI55" s="16">
        <v>408</v>
      </c>
      <c r="DJ55" s="16">
        <v>0</v>
      </c>
      <c r="DK55" s="16">
        <v>131</v>
      </c>
      <c r="DL55" s="23">
        <v>0.32107843137254904</v>
      </c>
      <c r="DM55" s="16">
        <v>1</v>
      </c>
      <c r="DN55">
        <v>5</v>
      </c>
      <c r="DO55" s="25"/>
      <c r="DP55" s="25"/>
      <c r="DQ55" s="25"/>
      <c r="DR55" s="26"/>
      <c r="DS55" s="26"/>
    </row>
    <row r="56" spans="1:123" ht="14.25" customHeight="1">
      <c r="A56" s="2">
        <v>4905</v>
      </c>
      <c r="B56" s="3" t="s">
        <v>42</v>
      </c>
      <c r="C56" s="3" t="s">
        <v>44</v>
      </c>
      <c r="D56" s="4">
        <v>54</v>
      </c>
      <c r="E56" s="3" t="s">
        <v>163</v>
      </c>
      <c r="F56" s="3" t="s">
        <v>161</v>
      </c>
      <c r="G56" s="4" t="s">
        <v>164</v>
      </c>
      <c r="H56" s="4" t="b">
        <v>1</v>
      </c>
      <c r="I56" s="4" t="b">
        <v>1</v>
      </c>
      <c r="J56" s="5" t="s">
        <v>164</v>
      </c>
      <c r="K56" s="5" t="s">
        <v>44</v>
      </c>
      <c r="L56" s="5" t="s">
        <v>163</v>
      </c>
      <c r="M56" s="5" t="s">
        <v>161</v>
      </c>
      <c r="N56" s="2" t="s">
        <v>13</v>
      </c>
      <c r="O56" s="2" t="s">
        <v>399</v>
      </c>
      <c r="P56" s="2">
        <v>70840</v>
      </c>
      <c r="Q56" s="2" t="s">
        <v>400</v>
      </c>
      <c r="R56" s="2">
        <v>575</v>
      </c>
      <c r="S56" s="2">
        <v>212</v>
      </c>
      <c r="T56" s="2">
        <v>212</v>
      </c>
      <c r="U56" s="2">
        <v>9</v>
      </c>
      <c r="V56" s="2">
        <v>203</v>
      </c>
      <c r="W56" s="2">
        <v>137</v>
      </c>
      <c r="X56" s="2">
        <v>36</v>
      </c>
      <c r="Y56" s="2">
        <v>0</v>
      </c>
      <c r="Z56" s="2">
        <v>3</v>
      </c>
      <c r="AA56" s="2">
        <v>12</v>
      </c>
      <c r="AB56" s="2">
        <v>3</v>
      </c>
      <c r="AC56" s="2">
        <v>9</v>
      </c>
      <c r="AD56" s="2">
        <v>0</v>
      </c>
      <c r="AE56" s="2">
        <v>0</v>
      </c>
      <c r="AF56" s="2">
        <v>1</v>
      </c>
      <c r="AG56" s="2">
        <v>0</v>
      </c>
      <c r="AH56" s="2">
        <v>0</v>
      </c>
      <c r="AI56" s="2">
        <v>0</v>
      </c>
      <c r="AJ56" s="2">
        <v>2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575</v>
      </c>
      <c r="AQ56" s="2">
        <v>212</v>
      </c>
      <c r="AR56" s="2">
        <v>212</v>
      </c>
      <c r="AS56" s="2">
        <v>5</v>
      </c>
      <c r="AT56" s="2">
        <v>207</v>
      </c>
      <c r="AU56" s="2">
        <v>3</v>
      </c>
      <c r="AV56" s="2">
        <v>1</v>
      </c>
      <c r="AW56" s="2">
        <v>0</v>
      </c>
      <c r="AX56" s="2">
        <v>15</v>
      </c>
      <c r="AY56" s="2">
        <v>7</v>
      </c>
      <c r="AZ56" s="2">
        <v>178</v>
      </c>
      <c r="BA56" s="2">
        <v>1</v>
      </c>
      <c r="BB56" s="2">
        <v>2</v>
      </c>
      <c r="BC56" s="11" t="s">
        <v>13</v>
      </c>
      <c r="BD56" s="11" t="s">
        <v>424</v>
      </c>
      <c r="BE56" s="11">
        <v>70840</v>
      </c>
      <c r="BF56" s="11" t="s">
        <v>400</v>
      </c>
      <c r="BG56" s="11">
        <v>54</v>
      </c>
      <c r="BH56" s="11">
        <v>582</v>
      </c>
      <c r="BI56" s="11">
        <v>185</v>
      </c>
      <c r="BJ56" s="11">
        <v>185</v>
      </c>
      <c r="BK56" s="11">
        <v>8</v>
      </c>
      <c r="BL56" s="11">
        <v>177</v>
      </c>
      <c r="BM56" s="11">
        <v>137</v>
      </c>
      <c r="BN56" s="11">
        <v>11</v>
      </c>
      <c r="BO56" s="11">
        <v>5</v>
      </c>
      <c r="BP56" s="11">
        <v>2</v>
      </c>
      <c r="BQ56" s="11">
        <v>4</v>
      </c>
      <c r="BR56" s="11">
        <v>0</v>
      </c>
      <c r="BS56" s="11">
        <v>13</v>
      </c>
      <c r="BT56" s="11">
        <v>0</v>
      </c>
      <c r="BU56" s="11">
        <v>0</v>
      </c>
      <c r="BV56" s="11">
        <v>0</v>
      </c>
      <c r="BW56" s="11">
        <v>0</v>
      </c>
      <c r="BX56" s="11">
        <v>1</v>
      </c>
      <c r="BY56" s="11">
        <v>1</v>
      </c>
      <c r="BZ56" s="11">
        <v>1</v>
      </c>
      <c r="CA56" s="11">
        <v>0</v>
      </c>
      <c r="CB56" s="11">
        <v>1</v>
      </c>
      <c r="CC56" s="11">
        <v>1</v>
      </c>
      <c r="CD56" s="11">
        <v>0</v>
      </c>
      <c r="CE56">
        <f t="shared" si="0"/>
        <v>153</v>
      </c>
      <c r="CF56">
        <f t="shared" si="1"/>
        <v>6</v>
      </c>
      <c r="CG56">
        <f t="shared" si="2"/>
        <v>14</v>
      </c>
      <c r="CH56">
        <f t="shared" si="3"/>
        <v>1</v>
      </c>
      <c r="CI56">
        <v>2</v>
      </c>
      <c r="CJ56" s="11">
        <v>582</v>
      </c>
      <c r="CK56" s="14">
        <v>0.31786941580756012</v>
      </c>
      <c r="CL56" s="14">
        <v>0.82702702702702702</v>
      </c>
      <c r="CM56" s="14">
        <v>3.2432432432432434E-2</v>
      </c>
      <c r="CN56" s="14">
        <v>8.1081081081081086E-2</v>
      </c>
      <c r="CO56" s="14">
        <v>5.4054054054054057E-3</v>
      </c>
      <c r="CP56" s="14">
        <v>1.0810810810810811E-2</v>
      </c>
      <c r="CQ56" s="30">
        <v>5</v>
      </c>
      <c r="CR56" s="15">
        <v>176</v>
      </c>
      <c r="CS56">
        <v>13</v>
      </c>
      <c r="CT56">
        <v>14</v>
      </c>
      <c r="CV56">
        <v>0</v>
      </c>
      <c r="CW56" s="14">
        <v>0.36869565217391304</v>
      </c>
      <c r="CX56" s="14">
        <v>0.83018867924528306</v>
      </c>
      <c r="CY56" s="14">
        <v>6.1320754716981132E-2</v>
      </c>
      <c r="CZ56" s="14">
        <v>6.6037735849056603E-2</v>
      </c>
      <c r="DA56" s="14">
        <v>0</v>
      </c>
      <c r="DB56" s="14">
        <v>0</v>
      </c>
      <c r="DC56" s="30">
        <v>5</v>
      </c>
      <c r="DD56" s="14" t="s">
        <v>474</v>
      </c>
      <c r="DE56" s="17" t="s">
        <v>437</v>
      </c>
      <c r="DF56" s="17" t="s">
        <v>437</v>
      </c>
      <c r="DG56" s="17" t="s">
        <v>453</v>
      </c>
      <c r="DH56" s="21">
        <v>183.38</v>
      </c>
      <c r="DI56" s="16">
        <v>582</v>
      </c>
      <c r="DJ56" s="16">
        <v>0</v>
      </c>
      <c r="DK56" s="16">
        <v>185</v>
      </c>
      <c r="DL56" s="23">
        <v>0.31786941580756012</v>
      </c>
      <c r="DM56" s="16">
        <v>1</v>
      </c>
      <c r="DN56">
        <v>5</v>
      </c>
      <c r="DO56" s="25"/>
      <c r="DP56" s="25"/>
      <c r="DQ56" s="25"/>
      <c r="DR56" s="26"/>
      <c r="DS56" s="26"/>
    </row>
    <row r="57" spans="1:123" ht="14.25" customHeight="1">
      <c r="A57" s="2">
        <v>4906</v>
      </c>
      <c r="B57" s="3" t="s">
        <v>42</v>
      </c>
      <c r="C57" s="3" t="s">
        <v>44</v>
      </c>
      <c r="D57" s="4">
        <v>55</v>
      </c>
      <c r="E57" s="3" t="s">
        <v>165</v>
      </c>
      <c r="F57" s="3" t="s">
        <v>161</v>
      </c>
      <c r="G57" s="4" t="s">
        <v>166</v>
      </c>
      <c r="H57" s="4" t="b">
        <v>1</v>
      </c>
      <c r="I57" s="4" t="b">
        <v>1</v>
      </c>
      <c r="J57" s="5" t="s">
        <v>166</v>
      </c>
      <c r="K57" s="5" t="s">
        <v>44</v>
      </c>
      <c r="L57" s="5" t="s">
        <v>165</v>
      </c>
      <c r="M57" s="5" t="s">
        <v>161</v>
      </c>
      <c r="N57" s="2" t="s">
        <v>13</v>
      </c>
      <c r="O57" s="2" t="s">
        <v>399</v>
      </c>
      <c r="P57" s="2">
        <v>70840</v>
      </c>
      <c r="Q57" s="2" t="s">
        <v>400</v>
      </c>
      <c r="R57" s="2">
        <v>542</v>
      </c>
      <c r="S57" s="2">
        <v>176</v>
      </c>
      <c r="T57" s="2">
        <v>176</v>
      </c>
      <c r="U57" s="2">
        <v>6</v>
      </c>
      <c r="V57" s="2">
        <v>170</v>
      </c>
      <c r="W57" s="2">
        <v>89</v>
      </c>
      <c r="X57" s="2">
        <v>52</v>
      </c>
      <c r="Y57" s="2">
        <v>0</v>
      </c>
      <c r="Z57" s="2">
        <v>5</v>
      </c>
      <c r="AA57" s="2">
        <v>9</v>
      </c>
      <c r="AB57" s="2">
        <v>7</v>
      </c>
      <c r="AC57" s="2">
        <v>2</v>
      </c>
      <c r="AD57" s="2">
        <v>0</v>
      </c>
      <c r="AE57" s="2">
        <v>0</v>
      </c>
      <c r="AF57" s="2">
        <v>0</v>
      </c>
      <c r="AG57" s="2">
        <v>3</v>
      </c>
      <c r="AH57" s="2">
        <v>1</v>
      </c>
      <c r="AI57" s="2">
        <v>0</v>
      </c>
      <c r="AJ57" s="2">
        <v>2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542</v>
      </c>
      <c r="AQ57" s="2">
        <v>176</v>
      </c>
      <c r="AR57" s="2">
        <v>176</v>
      </c>
      <c r="AS57" s="2">
        <v>1</v>
      </c>
      <c r="AT57" s="2">
        <v>175</v>
      </c>
      <c r="AU57" s="2">
        <v>3</v>
      </c>
      <c r="AV57" s="2">
        <v>1</v>
      </c>
      <c r="AW57" s="2">
        <v>1</v>
      </c>
      <c r="AX57" s="2">
        <v>5</v>
      </c>
      <c r="AY57" s="2">
        <v>3</v>
      </c>
      <c r="AZ57" s="2">
        <v>155</v>
      </c>
      <c r="BA57" s="2">
        <v>1</v>
      </c>
      <c r="BB57" s="2">
        <v>6</v>
      </c>
      <c r="BC57" s="11" t="s">
        <v>13</v>
      </c>
      <c r="BD57" s="11" t="s">
        <v>424</v>
      </c>
      <c r="BE57" s="11">
        <v>70840</v>
      </c>
      <c r="BF57" s="11" t="s">
        <v>400</v>
      </c>
      <c r="BG57" s="11">
        <v>55</v>
      </c>
      <c r="BH57" s="11">
        <v>528</v>
      </c>
      <c r="BI57" s="11">
        <v>166</v>
      </c>
      <c r="BJ57" s="11">
        <v>166</v>
      </c>
      <c r="BK57" s="11">
        <v>7</v>
      </c>
      <c r="BL57" s="11">
        <v>159</v>
      </c>
      <c r="BM57" s="11">
        <v>114</v>
      </c>
      <c r="BN57" s="11">
        <v>15</v>
      </c>
      <c r="BO57" s="11">
        <v>1</v>
      </c>
      <c r="BP57" s="11">
        <v>4</v>
      </c>
      <c r="BQ57" s="11">
        <v>3</v>
      </c>
      <c r="BR57" s="11">
        <v>0</v>
      </c>
      <c r="BS57" s="11">
        <v>15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5</v>
      </c>
      <c r="CA57" s="11">
        <v>1</v>
      </c>
      <c r="CB57" s="11">
        <v>0</v>
      </c>
      <c r="CC57" s="11">
        <v>0</v>
      </c>
      <c r="CD57" s="11">
        <v>1</v>
      </c>
      <c r="CE57">
        <f t="shared" si="0"/>
        <v>130</v>
      </c>
      <c r="CF57">
        <f t="shared" si="1"/>
        <v>7</v>
      </c>
      <c r="CG57">
        <f t="shared" si="2"/>
        <v>15</v>
      </c>
      <c r="CH57">
        <f t="shared" si="3"/>
        <v>5</v>
      </c>
      <c r="CI57">
        <v>1</v>
      </c>
      <c r="CJ57" s="11">
        <v>528</v>
      </c>
      <c r="CK57" s="14">
        <v>0.31439393939393939</v>
      </c>
      <c r="CL57" s="14">
        <v>0.7831325301204819</v>
      </c>
      <c r="CM57" s="14">
        <v>4.2168674698795178E-2</v>
      </c>
      <c r="CN57" s="14">
        <v>9.6385542168674704E-2</v>
      </c>
      <c r="CO57" s="14">
        <v>3.0120481927710843E-2</v>
      </c>
      <c r="CP57" s="14">
        <v>6.024096385542169E-3</v>
      </c>
      <c r="CQ57" s="30">
        <v>5</v>
      </c>
      <c r="CR57" s="15">
        <v>146</v>
      </c>
      <c r="CS57">
        <v>12</v>
      </c>
      <c r="CT57">
        <v>12</v>
      </c>
      <c r="CV57">
        <v>0</v>
      </c>
      <c r="CW57" s="14">
        <v>0.32472324723247231</v>
      </c>
      <c r="CX57" s="14">
        <v>0.82954545454545459</v>
      </c>
      <c r="CY57" s="14">
        <v>6.8181818181818177E-2</v>
      </c>
      <c r="CZ57" s="14">
        <v>6.8181818181818177E-2</v>
      </c>
      <c r="DA57" s="14">
        <v>0</v>
      </c>
      <c r="DB57" s="14">
        <v>0</v>
      </c>
      <c r="DC57" s="30">
        <v>5</v>
      </c>
      <c r="DD57" s="14" t="s">
        <v>474</v>
      </c>
      <c r="DE57" s="17" t="s">
        <v>437</v>
      </c>
      <c r="DF57" s="17" t="s">
        <v>437</v>
      </c>
      <c r="DG57" s="17" t="s">
        <v>453</v>
      </c>
      <c r="DH57" s="21">
        <v>173.11</v>
      </c>
      <c r="DI57" s="16">
        <v>528</v>
      </c>
      <c r="DJ57" s="16">
        <v>0</v>
      </c>
      <c r="DK57" s="16">
        <v>166</v>
      </c>
      <c r="DL57" s="23">
        <v>0.31439393939393939</v>
      </c>
      <c r="DM57" s="16">
        <v>1</v>
      </c>
      <c r="DN57">
        <v>5</v>
      </c>
      <c r="DO57" s="25"/>
      <c r="DP57" s="25"/>
      <c r="DQ57" s="25"/>
      <c r="DR57" s="26"/>
      <c r="DS57" s="26"/>
    </row>
    <row r="58" spans="1:123" ht="14.25" customHeight="1">
      <c r="A58" s="2">
        <v>4907</v>
      </c>
      <c r="B58" s="3" t="s">
        <v>42</v>
      </c>
      <c r="C58" s="3" t="s">
        <v>44</v>
      </c>
      <c r="D58" s="4">
        <v>56</v>
      </c>
      <c r="E58" s="3" t="s">
        <v>30</v>
      </c>
      <c r="F58" s="3" t="s">
        <v>167</v>
      </c>
      <c r="G58" s="4" t="s">
        <v>168</v>
      </c>
      <c r="H58" s="4" t="s">
        <v>16</v>
      </c>
      <c r="I58" s="4" t="b">
        <v>1</v>
      </c>
      <c r="J58" s="5" t="s">
        <v>168</v>
      </c>
      <c r="K58" s="5" t="s">
        <v>44</v>
      </c>
      <c r="L58" s="5" t="s">
        <v>169</v>
      </c>
      <c r="M58" s="5" t="s">
        <v>167</v>
      </c>
      <c r="N58" s="2" t="s">
        <v>13</v>
      </c>
      <c r="O58" s="2" t="s">
        <v>399</v>
      </c>
      <c r="P58" s="2">
        <v>70840</v>
      </c>
      <c r="Q58" s="2" t="s">
        <v>400</v>
      </c>
      <c r="R58" s="2">
        <v>182</v>
      </c>
      <c r="S58" s="2">
        <v>110</v>
      </c>
      <c r="T58" s="2">
        <v>110</v>
      </c>
      <c r="U58" s="2">
        <v>4</v>
      </c>
      <c r="V58" s="2">
        <v>106</v>
      </c>
      <c r="W58" s="2">
        <v>54</v>
      </c>
      <c r="X58" s="2">
        <v>19</v>
      </c>
      <c r="Y58" s="2">
        <v>0</v>
      </c>
      <c r="Z58" s="2">
        <v>2</v>
      </c>
      <c r="AA58" s="2">
        <v>11</v>
      </c>
      <c r="AB58" s="2">
        <v>5</v>
      </c>
      <c r="AC58" s="2">
        <v>7</v>
      </c>
      <c r="AD58" s="2">
        <v>0</v>
      </c>
      <c r="AE58" s="2">
        <v>0</v>
      </c>
      <c r="AF58" s="2">
        <v>0</v>
      </c>
      <c r="AG58" s="2">
        <v>7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182</v>
      </c>
      <c r="AQ58" s="2">
        <v>110</v>
      </c>
      <c r="AR58" s="2">
        <v>110</v>
      </c>
      <c r="AS58" s="2">
        <v>5</v>
      </c>
      <c r="AT58" s="2">
        <v>105</v>
      </c>
      <c r="AU58" s="2">
        <v>4</v>
      </c>
      <c r="AV58" s="2">
        <v>0</v>
      </c>
      <c r="AW58" s="2">
        <v>1</v>
      </c>
      <c r="AX58" s="2">
        <v>12</v>
      </c>
      <c r="AY58" s="2">
        <v>8</v>
      </c>
      <c r="AZ58" s="2">
        <v>71</v>
      </c>
      <c r="BA58" s="2">
        <v>5</v>
      </c>
      <c r="BB58" s="2">
        <v>4</v>
      </c>
      <c r="BC58" s="11" t="s">
        <v>13</v>
      </c>
      <c r="BD58" s="11" t="s">
        <v>424</v>
      </c>
      <c r="BE58" s="11">
        <v>70840</v>
      </c>
      <c r="BF58" s="11" t="s">
        <v>400</v>
      </c>
      <c r="BG58" s="11">
        <v>56</v>
      </c>
      <c r="BH58" s="11">
        <v>177</v>
      </c>
      <c r="BI58" s="11">
        <v>111</v>
      </c>
      <c r="BJ58" s="11">
        <v>111</v>
      </c>
      <c r="BK58" s="11">
        <v>1</v>
      </c>
      <c r="BL58" s="11">
        <v>110</v>
      </c>
      <c r="BM58" s="11">
        <v>59</v>
      </c>
      <c r="BN58" s="11">
        <v>11</v>
      </c>
      <c r="BO58" s="11">
        <v>4</v>
      </c>
      <c r="BP58" s="11">
        <v>3</v>
      </c>
      <c r="BQ58" s="11">
        <v>3</v>
      </c>
      <c r="BR58" s="11">
        <v>0</v>
      </c>
      <c r="BS58" s="11">
        <v>24</v>
      </c>
      <c r="BT58" s="11">
        <v>1</v>
      </c>
      <c r="BU58" s="11">
        <v>0</v>
      </c>
      <c r="BV58" s="11">
        <v>0</v>
      </c>
      <c r="BW58" s="11">
        <v>1</v>
      </c>
      <c r="BX58" s="11">
        <v>0</v>
      </c>
      <c r="BY58" s="11">
        <v>0</v>
      </c>
      <c r="BZ58" s="11">
        <v>2</v>
      </c>
      <c r="CA58" s="11">
        <v>2</v>
      </c>
      <c r="CB58" s="11">
        <v>0</v>
      </c>
      <c r="CC58" s="11">
        <v>0</v>
      </c>
      <c r="CD58" s="11">
        <v>0</v>
      </c>
      <c r="CE58">
        <f t="shared" si="0"/>
        <v>74</v>
      </c>
      <c r="CF58">
        <f t="shared" si="1"/>
        <v>6</v>
      </c>
      <c r="CG58">
        <f t="shared" si="2"/>
        <v>25</v>
      </c>
      <c r="CH58">
        <f t="shared" si="3"/>
        <v>2</v>
      </c>
      <c r="CI58">
        <v>1</v>
      </c>
      <c r="CJ58" s="11">
        <v>177</v>
      </c>
      <c r="CK58" s="14">
        <v>0.6271186440677966</v>
      </c>
      <c r="CL58" s="14">
        <v>0.66666666666666663</v>
      </c>
      <c r="CM58" s="14">
        <v>6.3063063063063057E-2</v>
      </c>
      <c r="CN58" s="14">
        <v>0.23423423423423423</v>
      </c>
      <c r="CO58" s="14">
        <v>1.8018018018018018E-2</v>
      </c>
      <c r="CP58" s="14">
        <v>9.0090090090090089E-3</v>
      </c>
      <c r="CQ58" s="30">
        <v>8</v>
      </c>
      <c r="CR58" s="15">
        <v>75</v>
      </c>
      <c r="CS58">
        <v>19</v>
      </c>
      <c r="CT58">
        <v>11</v>
      </c>
      <c r="CV58">
        <v>1</v>
      </c>
      <c r="CW58" s="14">
        <v>0.60439560439560436</v>
      </c>
      <c r="CX58" s="14">
        <v>0.68181818181818177</v>
      </c>
      <c r="CY58" s="14">
        <v>0.17272727272727273</v>
      </c>
      <c r="CZ58" s="14">
        <v>0.1</v>
      </c>
      <c r="DA58" s="14">
        <v>0</v>
      </c>
      <c r="DB58" s="14">
        <v>9.0909090909090905E-3</v>
      </c>
      <c r="DC58" s="30">
        <v>8</v>
      </c>
      <c r="DD58" s="14" t="s">
        <v>488</v>
      </c>
      <c r="DE58" s="17" t="s">
        <v>439</v>
      </c>
      <c r="DF58" s="17" t="s">
        <v>439</v>
      </c>
      <c r="DG58" s="17" t="s">
        <v>442</v>
      </c>
      <c r="DH58" s="21">
        <v>59.69</v>
      </c>
      <c r="DI58" s="16">
        <v>177</v>
      </c>
      <c r="DJ58" s="16">
        <v>0</v>
      </c>
      <c r="DK58" s="16">
        <v>111</v>
      </c>
      <c r="DL58" s="23">
        <v>0.6271186440677966</v>
      </c>
      <c r="DM58" s="16">
        <v>0</v>
      </c>
      <c r="DN58">
        <v>0</v>
      </c>
      <c r="DO58" s="25"/>
      <c r="DP58" s="25"/>
      <c r="DQ58" s="25"/>
      <c r="DR58" s="26"/>
      <c r="DS58" s="26"/>
    </row>
    <row r="59" spans="1:123" ht="14.25" customHeight="1">
      <c r="A59" s="2">
        <v>4908</v>
      </c>
      <c r="B59" s="3" t="s">
        <v>42</v>
      </c>
      <c r="C59" s="3" t="s">
        <v>44</v>
      </c>
      <c r="D59" s="4">
        <v>57</v>
      </c>
      <c r="E59" s="3" t="s">
        <v>17</v>
      </c>
      <c r="F59" s="3" t="s">
        <v>170</v>
      </c>
      <c r="G59" s="4" t="s">
        <v>171</v>
      </c>
      <c r="H59" s="4" t="b">
        <v>1</v>
      </c>
      <c r="I59" s="4" t="b">
        <v>1</v>
      </c>
      <c r="J59" s="5" t="s">
        <v>171</v>
      </c>
      <c r="K59" s="5" t="s">
        <v>44</v>
      </c>
      <c r="L59" s="5" t="s">
        <v>17</v>
      </c>
      <c r="M59" s="5" t="s">
        <v>170</v>
      </c>
      <c r="N59" s="2" t="s">
        <v>13</v>
      </c>
      <c r="O59" s="2" t="s">
        <v>399</v>
      </c>
      <c r="P59" s="2">
        <v>70840</v>
      </c>
      <c r="Q59" s="2" t="s">
        <v>400</v>
      </c>
      <c r="R59" s="2">
        <v>239</v>
      </c>
      <c r="S59" s="2">
        <v>122</v>
      </c>
      <c r="T59" s="2">
        <v>122</v>
      </c>
      <c r="U59" s="2">
        <v>2</v>
      </c>
      <c r="V59" s="2">
        <v>120</v>
      </c>
      <c r="W59" s="2">
        <v>69</v>
      </c>
      <c r="X59" s="2">
        <v>18</v>
      </c>
      <c r="Y59" s="2">
        <v>0</v>
      </c>
      <c r="Z59" s="2">
        <v>7</v>
      </c>
      <c r="AA59" s="2">
        <v>18</v>
      </c>
      <c r="AB59" s="2">
        <v>1</v>
      </c>
      <c r="AC59" s="2">
        <v>2</v>
      </c>
      <c r="AD59" s="2">
        <v>0</v>
      </c>
      <c r="AE59" s="2">
        <v>1</v>
      </c>
      <c r="AF59" s="2">
        <v>2</v>
      </c>
      <c r="AG59" s="2">
        <v>2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239</v>
      </c>
      <c r="AQ59" s="2">
        <v>122</v>
      </c>
      <c r="AR59" s="2">
        <v>122</v>
      </c>
      <c r="AS59" s="2">
        <v>1</v>
      </c>
      <c r="AT59" s="2">
        <v>121</v>
      </c>
      <c r="AU59" s="2">
        <v>2</v>
      </c>
      <c r="AV59" s="2">
        <v>2</v>
      </c>
      <c r="AW59" s="2">
        <v>0</v>
      </c>
      <c r="AX59" s="2">
        <v>18</v>
      </c>
      <c r="AY59" s="2">
        <v>5</v>
      </c>
      <c r="AZ59" s="2">
        <v>91</v>
      </c>
      <c r="BA59" s="2">
        <v>1</v>
      </c>
      <c r="BB59" s="2">
        <v>2</v>
      </c>
      <c r="BC59" s="11" t="s">
        <v>13</v>
      </c>
      <c r="BD59" s="11" t="s">
        <v>424</v>
      </c>
      <c r="BE59" s="11">
        <v>70840</v>
      </c>
      <c r="BF59" s="11" t="s">
        <v>400</v>
      </c>
      <c r="BG59" s="11">
        <v>57</v>
      </c>
      <c r="BH59" s="11">
        <v>226</v>
      </c>
      <c r="BI59" s="11">
        <v>123</v>
      </c>
      <c r="BJ59" s="11">
        <v>123</v>
      </c>
      <c r="BK59" s="11">
        <v>1</v>
      </c>
      <c r="BL59" s="11">
        <v>122</v>
      </c>
      <c r="BM59" s="11">
        <v>81</v>
      </c>
      <c r="BN59" s="11">
        <v>10</v>
      </c>
      <c r="BO59" s="11">
        <v>4</v>
      </c>
      <c r="BP59" s="11">
        <v>1</v>
      </c>
      <c r="BQ59" s="11">
        <v>1</v>
      </c>
      <c r="BR59" s="11">
        <v>0</v>
      </c>
      <c r="BS59" s="11">
        <v>21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3</v>
      </c>
      <c r="CA59" s="11">
        <v>0</v>
      </c>
      <c r="CB59" s="11">
        <v>0</v>
      </c>
      <c r="CC59" s="11">
        <v>0</v>
      </c>
      <c r="CD59" s="11">
        <v>1</v>
      </c>
      <c r="CE59">
        <f t="shared" si="0"/>
        <v>95</v>
      </c>
      <c r="CF59">
        <f t="shared" si="1"/>
        <v>2</v>
      </c>
      <c r="CG59">
        <f t="shared" si="2"/>
        <v>21</v>
      </c>
      <c r="CH59">
        <f t="shared" si="3"/>
        <v>3</v>
      </c>
      <c r="CI59">
        <v>1</v>
      </c>
      <c r="CJ59" s="11">
        <v>226</v>
      </c>
      <c r="CK59" s="14">
        <v>0.54424778761061943</v>
      </c>
      <c r="CL59" s="14">
        <v>0.77235772357723576</v>
      </c>
      <c r="CM59" s="14">
        <v>1.6260162601626018E-2</v>
      </c>
      <c r="CN59" s="14">
        <v>0.17073170731707318</v>
      </c>
      <c r="CO59" s="14">
        <v>2.4390243902439025E-2</v>
      </c>
      <c r="CP59" s="14">
        <v>8.130081300813009E-3</v>
      </c>
      <c r="CQ59" s="30">
        <v>8</v>
      </c>
      <c r="CR59" s="15">
        <v>94</v>
      </c>
      <c r="CS59">
        <v>7</v>
      </c>
      <c r="CT59">
        <v>19</v>
      </c>
      <c r="CV59">
        <v>0</v>
      </c>
      <c r="CW59" s="14">
        <v>0.5104602510460251</v>
      </c>
      <c r="CX59" s="14">
        <v>0.77049180327868849</v>
      </c>
      <c r="CY59" s="14">
        <v>5.737704918032787E-2</v>
      </c>
      <c r="CZ59" s="14">
        <v>0.15573770491803279</v>
      </c>
      <c r="DA59" s="14">
        <v>0</v>
      </c>
      <c r="DB59" s="14">
        <v>0</v>
      </c>
      <c r="DC59" s="30">
        <v>6</v>
      </c>
      <c r="DD59" s="14" t="s">
        <v>489</v>
      </c>
      <c r="DE59" s="17" t="s">
        <v>439</v>
      </c>
      <c r="DF59" s="17" t="s">
        <v>438</v>
      </c>
      <c r="DG59" s="17" t="s">
        <v>444</v>
      </c>
      <c r="DH59" s="21">
        <v>67.850000000000009</v>
      </c>
      <c r="DI59" s="16">
        <v>226</v>
      </c>
      <c r="DJ59" s="16">
        <v>0</v>
      </c>
      <c r="DK59" s="16">
        <v>123</v>
      </c>
      <c r="DL59" s="23">
        <v>0.54424778761061943</v>
      </c>
      <c r="DM59" s="16">
        <v>0</v>
      </c>
      <c r="DN59">
        <v>0</v>
      </c>
      <c r="DO59" s="25"/>
      <c r="DP59" s="25"/>
      <c r="DQ59" s="25"/>
      <c r="DR59" s="26"/>
      <c r="DS59" s="26"/>
    </row>
    <row r="60" spans="1:123" ht="14.25" customHeight="1">
      <c r="A60" s="2">
        <v>4909</v>
      </c>
      <c r="B60" s="3" t="s">
        <v>42</v>
      </c>
      <c r="C60" s="3" t="s">
        <v>44</v>
      </c>
      <c r="D60" s="4">
        <v>58</v>
      </c>
      <c r="E60" s="3" t="s">
        <v>172</v>
      </c>
      <c r="F60" s="3" t="s">
        <v>173</v>
      </c>
      <c r="G60" s="4" t="s">
        <v>174</v>
      </c>
      <c r="H60" s="4" t="b">
        <v>1</v>
      </c>
      <c r="I60" s="4" t="b">
        <v>1</v>
      </c>
      <c r="J60" s="5" t="s">
        <v>174</v>
      </c>
      <c r="K60" s="5" t="s">
        <v>44</v>
      </c>
      <c r="L60" s="5" t="s">
        <v>172</v>
      </c>
      <c r="M60" s="5" t="s">
        <v>173</v>
      </c>
      <c r="N60" s="2" t="s">
        <v>13</v>
      </c>
      <c r="O60" s="2" t="s">
        <v>399</v>
      </c>
      <c r="P60" s="2">
        <v>70840</v>
      </c>
      <c r="Q60" s="2" t="s">
        <v>400</v>
      </c>
      <c r="R60" s="2">
        <v>82</v>
      </c>
      <c r="S60" s="2">
        <v>48</v>
      </c>
      <c r="T60" s="2">
        <v>48</v>
      </c>
      <c r="U60" s="2">
        <v>2</v>
      </c>
      <c r="V60" s="2">
        <v>46</v>
      </c>
      <c r="W60" s="2">
        <v>29</v>
      </c>
      <c r="X60" s="2">
        <v>5</v>
      </c>
      <c r="Y60" s="2">
        <v>1</v>
      </c>
      <c r="Z60" s="2">
        <v>2</v>
      </c>
      <c r="AA60" s="2">
        <v>0</v>
      </c>
      <c r="AB60" s="2">
        <v>0</v>
      </c>
      <c r="AC60" s="2">
        <v>1</v>
      </c>
      <c r="AD60" s="2">
        <v>0</v>
      </c>
      <c r="AE60" s="2">
        <v>1</v>
      </c>
      <c r="AF60" s="2">
        <v>6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82</v>
      </c>
      <c r="AQ60" s="2">
        <v>48</v>
      </c>
      <c r="AR60" s="2">
        <v>48</v>
      </c>
      <c r="AS60" s="2">
        <v>2</v>
      </c>
      <c r="AT60" s="2">
        <v>46</v>
      </c>
      <c r="AU60" s="2">
        <v>0</v>
      </c>
      <c r="AV60" s="2">
        <v>1</v>
      </c>
      <c r="AW60" s="2">
        <v>6</v>
      </c>
      <c r="AX60" s="2">
        <v>2</v>
      </c>
      <c r="AY60" s="2">
        <v>0</v>
      </c>
      <c r="AZ60" s="2">
        <v>34</v>
      </c>
      <c r="BA60" s="2">
        <v>1</v>
      </c>
      <c r="BB60" s="2">
        <v>2</v>
      </c>
      <c r="BC60" s="11" t="s">
        <v>13</v>
      </c>
      <c r="BD60" s="11" t="s">
        <v>424</v>
      </c>
      <c r="BE60" s="11">
        <v>70840</v>
      </c>
      <c r="BF60" s="11" t="s">
        <v>400</v>
      </c>
      <c r="BG60" s="11">
        <v>58</v>
      </c>
      <c r="BH60" s="11">
        <v>79</v>
      </c>
      <c r="BI60" s="11">
        <v>50</v>
      </c>
      <c r="BJ60" s="11">
        <v>50</v>
      </c>
      <c r="BK60" s="11">
        <v>2</v>
      </c>
      <c r="BL60" s="11">
        <v>48</v>
      </c>
      <c r="BM60" s="11">
        <v>33</v>
      </c>
      <c r="BN60" s="11">
        <v>1</v>
      </c>
      <c r="BO60" s="11">
        <v>1</v>
      </c>
      <c r="BP60" s="11">
        <v>0</v>
      </c>
      <c r="BQ60" s="11">
        <v>1</v>
      </c>
      <c r="BR60" s="11">
        <v>0</v>
      </c>
      <c r="BS60" s="11">
        <v>8</v>
      </c>
      <c r="BT60" s="11">
        <v>1</v>
      </c>
      <c r="BU60" s="11">
        <v>0</v>
      </c>
      <c r="BV60" s="11">
        <v>0</v>
      </c>
      <c r="BW60" s="11">
        <v>0</v>
      </c>
      <c r="BX60" s="11">
        <v>1</v>
      </c>
      <c r="BY60" s="11">
        <v>0</v>
      </c>
      <c r="BZ60" s="11">
        <v>0</v>
      </c>
      <c r="CA60" s="11">
        <v>0</v>
      </c>
      <c r="CB60" s="11">
        <v>2</v>
      </c>
      <c r="CC60" s="11">
        <v>0</v>
      </c>
      <c r="CD60" s="11">
        <v>0</v>
      </c>
      <c r="CE60">
        <f t="shared" si="0"/>
        <v>35</v>
      </c>
      <c r="CF60">
        <f t="shared" si="1"/>
        <v>1</v>
      </c>
      <c r="CG60">
        <f t="shared" si="2"/>
        <v>9</v>
      </c>
      <c r="CH60">
        <f t="shared" si="3"/>
        <v>0</v>
      </c>
      <c r="CI60">
        <v>3</v>
      </c>
      <c r="CJ60" s="11">
        <v>79</v>
      </c>
      <c r="CK60" s="14">
        <v>0.63291139240506333</v>
      </c>
      <c r="CL60" s="14">
        <v>0.7</v>
      </c>
      <c r="CM60" s="14">
        <v>0.02</v>
      </c>
      <c r="CN60" s="14">
        <v>0.18</v>
      </c>
      <c r="CO60" s="14">
        <v>0</v>
      </c>
      <c r="CP60" s="14">
        <v>0.06</v>
      </c>
      <c r="CQ60" s="30">
        <v>8</v>
      </c>
      <c r="CR60" s="15">
        <v>36</v>
      </c>
      <c r="CS60">
        <v>8</v>
      </c>
      <c r="CT60">
        <v>1</v>
      </c>
      <c r="CV60">
        <v>1</v>
      </c>
      <c r="CW60" s="14">
        <v>0.58536585365853655</v>
      </c>
      <c r="CX60" s="14">
        <v>0.75</v>
      </c>
      <c r="CY60" s="14">
        <v>0.16666666666666666</v>
      </c>
      <c r="CZ60" s="14">
        <v>2.0833333333333332E-2</v>
      </c>
      <c r="DA60" s="14">
        <v>0</v>
      </c>
      <c r="DB60" s="14">
        <v>2.0833333333333332E-2</v>
      </c>
      <c r="DC60" s="30">
        <v>8</v>
      </c>
      <c r="DD60" s="14" t="s">
        <v>488</v>
      </c>
      <c r="DE60" s="17" t="s">
        <v>439</v>
      </c>
      <c r="DF60" s="17" t="s">
        <v>439</v>
      </c>
      <c r="DG60" s="17" t="s">
        <v>442</v>
      </c>
      <c r="DH60" s="21">
        <v>21.64</v>
      </c>
      <c r="DI60" s="16">
        <v>79</v>
      </c>
      <c r="DJ60" s="16">
        <v>0</v>
      </c>
      <c r="DK60" s="16">
        <v>50</v>
      </c>
      <c r="DL60" s="23">
        <v>0.63291139240506333</v>
      </c>
      <c r="DM60" s="16">
        <v>0</v>
      </c>
      <c r="DN60">
        <v>0</v>
      </c>
      <c r="DO60" s="25"/>
      <c r="DP60" s="25"/>
      <c r="DQ60" s="25"/>
      <c r="DR60" s="26"/>
      <c r="DS60" s="26"/>
    </row>
    <row r="61" spans="1:123" ht="14.25" customHeight="1">
      <c r="A61" s="2">
        <v>4910</v>
      </c>
      <c r="B61" s="3" t="s">
        <v>42</v>
      </c>
      <c r="C61" s="3" t="s">
        <v>44</v>
      </c>
      <c r="D61" s="4">
        <v>59</v>
      </c>
      <c r="E61" s="3" t="s">
        <v>17</v>
      </c>
      <c r="F61" s="3" t="s">
        <v>175</v>
      </c>
      <c r="G61" s="4" t="s">
        <v>176</v>
      </c>
      <c r="H61" s="4" t="b">
        <v>1</v>
      </c>
      <c r="I61" s="4" t="b">
        <v>1</v>
      </c>
      <c r="J61" s="5" t="s">
        <v>176</v>
      </c>
      <c r="K61" s="5" t="s">
        <v>44</v>
      </c>
      <c r="L61" s="5" t="s">
        <v>17</v>
      </c>
      <c r="M61" s="5" t="s">
        <v>175</v>
      </c>
      <c r="N61" s="2" t="s">
        <v>13</v>
      </c>
      <c r="O61" s="2" t="s">
        <v>399</v>
      </c>
      <c r="P61" s="2">
        <v>70840</v>
      </c>
      <c r="Q61" s="2" t="s">
        <v>400</v>
      </c>
      <c r="R61" s="2">
        <v>549</v>
      </c>
      <c r="S61" s="2">
        <v>236</v>
      </c>
      <c r="T61" s="2">
        <v>236</v>
      </c>
      <c r="U61" s="2">
        <v>10</v>
      </c>
      <c r="V61" s="2">
        <v>226</v>
      </c>
      <c r="W61" s="2">
        <v>134</v>
      </c>
      <c r="X61" s="2">
        <v>63</v>
      </c>
      <c r="Y61" s="2">
        <v>0</v>
      </c>
      <c r="Z61" s="2">
        <v>2</v>
      </c>
      <c r="AA61" s="2">
        <v>12</v>
      </c>
      <c r="AB61" s="2">
        <v>2</v>
      </c>
      <c r="AC61" s="2">
        <v>0</v>
      </c>
      <c r="AD61" s="2">
        <v>1</v>
      </c>
      <c r="AE61" s="2">
        <v>3</v>
      </c>
      <c r="AF61" s="2">
        <v>0</v>
      </c>
      <c r="AG61" s="2">
        <v>4</v>
      </c>
      <c r="AH61" s="2">
        <v>0</v>
      </c>
      <c r="AI61" s="2">
        <v>0</v>
      </c>
      <c r="AJ61" s="2">
        <v>2</v>
      </c>
      <c r="AK61" s="2">
        <v>0</v>
      </c>
      <c r="AL61" s="2">
        <v>0</v>
      </c>
      <c r="AM61" s="2">
        <v>3</v>
      </c>
      <c r="AN61" s="2">
        <v>0</v>
      </c>
      <c r="AO61" s="2">
        <v>0</v>
      </c>
      <c r="AP61" s="2">
        <v>549</v>
      </c>
      <c r="AQ61" s="2">
        <v>236</v>
      </c>
      <c r="AR61" s="2">
        <v>236</v>
      </c>
      <c r="AS61" s="2">
        <v>10</v>
      </c>
      <c r="AT61" s="2">
        <v>226</v>
      </c>
      <c r="AU61" s="2">
        <v>2</v>
      </c>
      <c r="AV61" s="2">
        <v>3</v>
      </c>
      <c r="AW61" s="2">
        <v>0</v>
      </c>
      <c r="AX61" s="2">
        <v>14</v>
      </c>
      <c r="AY61" s="2">
        <v>3</v>
      </c>
      <c r="AZ61" s="2">
        <v>198</v>
      </c>
      <c r="BA61" s="2">
        <v>1</v>
      </c>
      <c r="BB61" s="2">
        <v>5</v>
      </c>
      <c r="BC61" s="11" t="s">
        <v>13</v>
      </c>
      <c r="BD61" s="11" t="s">
        <v>424</v>
      </c>
      <c r="BE61" s="11">
        <v>70840</v>
      </c>
      <c r="BF61" s="11" t="s">
        <v>400</v>
      </c>
      <c r="BG61" s="11">
        <v>59</v>
      </c>
      <c r="BH61" s="11">
        <v>550</v>
      </c>
      <c r="BI61" s="11">
        <v>184</v>
      </c>
      <c r="BJ61" s="11">
        <v>184</v>
      </c>
      <c r="BK61" s="11">
        <v>6</v>
      </c>
      <c r="BL61" s="11">
        <v>178</v>
      </c>
      <c r="BM61" s="11">
        <v>138</v>
      </c>
      <c r="BN61" s="11">
        <v>19</v>
      </c>
      <c r="BO61" s="11">
        <v>2</v>
      </c>
      <c r="BP61" s="11">
        <v>3</v>
      </c>
      <c r="BQ61" s="11">
        <v>1</v>
      </c>
      <c r="BR61" s="11">
        <v>1</v>
      </c>
      <c r="BS61" s="11">
        <v>7</v>
      </c>
      <c r="BT61" s="11">
        <v>0</v>
      </c>
      <c r="BU61" s="11">
        <v>1</v>
      </c>
      <c r="BV61" s="11">
        <v>2</v>
      </c>
      <c r="BW61" s="11">
        <v>2</v>
      </c>
      <c r="BX61" s="11">
        <v>0</v>
      </c>
      <c r="BY61" s="11">
        <v>0</v>
      </c>
      <c r="BZ61" s="11">
        <v>2</v>
      </c>
      <c r="CA61" s="11">
        <v>0</v>
      </c>
      <c r="CB61" s="11">
        <v>0</v>
      </c>
      <c r="CC61" s="11">
        <v>0</v>
      </c>
      <c r="CD61" s="11">
        <v>0</v>
      </c>
      <c r="CE61">
        <f t="shared" si="0"/>
        <v>159</v>
      </c>
      <c r="CF61">
        <f t="shared" si="1"/>
        <v>4</v>
      </c>
      <c r="CG61">
        <f t="shared" si="2"/>
        <v>9</v>
      </c>
      <c r="CH61">
        <f t="shared" si="3"/>
        <v>2</v>
      </c>
      <c r="CI61">
        <v>4</v>
      </c>
      <c r="CJ61" s="11">
        <v>550</v>
      </c>
      <c r="CK61" s="14">
        <v>0.33454545454545453</v>
      </c>
      <c r="CL61" s="14">
        <v>0.86413043478260865</v>
      </c>
      <c r="CM61" s="14">
        <v>3.2608695652173912E-2</v>
      </c>
      <c r="CN61" s="14">
        <v>3.8043478260869568E-2</v>
      </c>
      <c r="CO61" s="14">
        <v>1.0869565217391304E-2</v>
      </c>
      <c r="CP61" s="14">
        <v>2.1739130434782608E-2</v>
      </c>
      <c r="CQ61" s="30">
        <v>5</v>
      </c>
      <c r="CR61" s="15">
        <v>199</v>
      </c>
      <c r="CS61">
        <v>6</v>
      </c>
      <c r="CT61">
        <v>20</v>
      </c>
      <c r="CV61">
        <v>1</v>
      </c>
      <c r="CW61" s="14">
        <v>0.42987249544626593</v>
      </c>
      <c r="CX61" s="14">
        <v>0.84322033898305082</v>
      </c>
      <c r="CY61" s="14">
        <v>2.5423728813559324E-2</v>
      </c>
      <c r="CZ61" s="14">
        <v>8.4745762711864403E-2</v>
      </c>
      <c r="DA61" s="14">
        <v>0</v>
      </c>
      <c r="DB61" s="14">
        <v>4.2372881355932203E-3</v>
      </c>
      <c r="DC61" s="30">
        <v>5</v>
      </c>
      <c r="DD61" s="14" t="s">
        <v>474</v>
      </c>
      <c r="DE61" s="17" t="s">
        <v>437</v>
      </c>
      <c r="DF61" s="17" t="s">
        <v>437</v>
      </c>
      <c r="DG61" s="17" t="s">
        <v>453</v>
      </c>
      <c r="DH61" s="21">
        <v>166.21</v>
      </c>
      <c r="DI61" s="16">
        <v>550</v>
      </c>
      <c r="DJ61" s="16">
        <v>0</v>
      </c>
      <c r="DK61" s="16">
        <v>184</v>
      </c>
      <c r="DL61" s="23">
        <v>0.33454545454545453</v>
      </c>
      <c r="DM61" s="16">
        <v>1</v>
      </c>
      <c r="DN61">
        <v>5</v>
      </c>
      <c r="DO61" s="25"/>
      <c r="DP61" s="25"/>
      <c r="DQ61" s="25"/>
      <c r="DR61" s="26"/>
      <c r="DS61" s="26"/>
    </row>
    <row r="62" spans="1:123" ht="14.25" customHeight="1">
      <c r="A62" s="2">
        <v>4911</v>
      </c>
      <c r="B62" s="3" t="s">
        <v>42</v>
      </c>
      <c r="C62" s="3" t="s">
        <v>44</v>
      </c>
      <c r="D62" s="4">
        <v>60</v>
      </c>
      <c r="E62" s="3" t="s">
        <v>17</v>
      </c>
      <c r="F62" s="3" t="s">
        <v>177</v>
      </c>
      <c r="G62" s="4" t="s">
        <v>178</v>
      </c>
      <c r="H62" s="4" t="b">
        <v>1</v>
      </c>
      <c r="I62" s="4" t="b">
        <v>1</v>
      </c>
      <c r="J62" s="5" t="s">
        <v>178</v>
      </c>
      <c r="K62" s="5" t="s">
        <v>44</v>
      </c>
      <c r="L62" s="5" t="s">
        <v>17</v>
      </c>
      <c r="M62" s="5" t="s">
        <v>177</v>
      </c>
      <c r="N62" s="2" t="s">
        <v>13</v>
      </c>
      <c r="O62" s="2" t="s">
        <v>399</v>
      </c>
      <c r="P62" s="2">
        <v>70840</v>
      </c>
      <c r="Q62" s="2" t="s">
        <v>400</v>
      </c>
      <c r="R62" s="2">
        <v>377</v>
      </c>
      <c r="S62" s="2">
        <v>287</v>
      </c>
      <c r="T62" s="2">
        <v>287</v>
      </c>
      <c r="U62" s="2">
        <v>4</v>
      </c>
      <c r="V62" s="2">
        <v>283</v>
      </c>
      <c r="W62" s="2">
        <v>170</v>
      </c>
      <c r="X62" s="2">
        <v>27</v>
      </c>
      <c r="Y62" s="2">
        <v>0</v>
      </c>
      <c r="Z62" s="2">
        <v>3</v>
      </c>
      <c r="AA62" s="2">
        <v>49</v>
      </c>
      <c r="AB62" s="2">
        <v>7</v>
      </c>
      <c r="AC62" s="2">
        <v>8</v>
      </c>
      <c r="AD62" s="2">
        <v>0</v>
      </c>
      <c r="AE62" s="2">
        <v>0</v>
      </c>
      <c r="AF62" s="2">
        <v>2</v>
      </c>
      <c r="AG62" s="2">
        <v>14</v>
      </c>
      <c r="AH62" s="2">
        <v>0</v>
      </c>
      <c r="AI62" s="2">
        <v>0</v>
      </c>
      <c r="AJ62" s="2">
        <v>3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377</v>
      </c>
      <c r="AQ62" s="2">
        <v>287</v>
      </c>
      <c r="AR62" s="2">
        <v>287</v>
      </c>
      <c r="AS62" s="2">
        <v>1</v>
      </c>
      <c r="AT62" s="2">
        <v>286</v>
      </c>
      <c r="AU62" s="2">
        <v>4</v>
      </c>
      <c r="AV62" s="2">
        <v>3</v>
      </c>
      <c r="AW62" s="2">
        <v>2</v>
      </c>
      <c r="AX62" s="2">
        <v>43</v>
      </c>
      <c r="AY62" s="2">
        <v>14</v>
      </c>
      <c r="AZ62" s="2">
        <v>208</v>
      </c>
      <c r="BA62" s="2">
        <v>5</v>
      </c>
      <c r="BB62" s="2">
        <v>7</v>
      </c>
      <c r="BC62" s="11" t="s">
        <v>13</v>
      </c>
      <c r="BD62" s="11" t="s">
        <v>424</v>
      </c>
      <c r="BE62" s="11">
        <v>70840</v>
      </c>
      <c r="BF62" s="11" t="s">
        <v>400</v>
      </c>
      <c r="BG62" s="11">
        <v>60</v>
      </c>
      <c r="BH62" s="11">
        <v>353</v>
      </c>
      <c r="BI62" s="11">
        <v>268</v>
      </c>
      <c r="BJ62" s="11">
        <v>268</v>
      </c>
      <c r="BK62" s="11">
        <v>1</v>
      </c>
      <c r="BL62" s="11">
        <v>267</v>
      </c>
      <c r="BM62" s="11">
        <v>189</v>
      </c>
      <c r="BN62" s="11">
        <v>18</v>
      </c>
      <c r="BO62" s="11">
        <v>2</v>
      </c>
      <c r="BP62" s="11">
        <v>6</v>
      </c>
      <c r="BQ62" s="11">
        <v>0</v>
      </c>
      <c r="BR62" s="11">
        <v>0</v>
      </c>
      <c r="BS62" s="11">
        <v>47</v>
      </c>
      <c r="BT62" s="11">
        <v>0</v>
      </c>
      <c r="BU62" s="11">
        <v>0</v>
      </c>
      <c r="BV62" s="11">
        <v>0</v>
      </c>
      <c r="BW62" s="11">
        <v>0</v>
      </c>
      <c r="BX62" s="11">
        <v>1</v>
      </c>
      <c r="BY62" s="11">
        <v>0</v>
      </c>
      <c r="BZ62" s="11">
        <v>4</v>
      </c>
      <c r="CA62" s="11">
        <v>0</v>
      </c>
      <c r="CB62" s="11">
        <v>0</v>
      </c>
      <c r="CC62" s="11">
        <v>0</v>
      </c>
      <c r="CD62" s="11">
        <v>0</v>
      </c>
      <c r="CE62">
        <f t="shared" si="0"/>
        <v>209</v>
      </c>
      <c r="CF62">
        <f t="shared" si="1"/>
        <v>6</v>
      </c>
      <c r="CG62">
        <f t="shared" si="2"/>
        <v>48</v>
      </c>
      <c r="CH62">
        <f t="shared" si="3"/>
        <v>4</v>
      </c>
      <c r="CI62">
        <v>0</v>
      </c>
      <c r="CJ62" s="11">
        <v>353</v>
      </c>
      <c r="CK62" s="14">
        <v>0.75920679886685549</v>
      </c>
      <c r="CL62" s="14">
        <v>0.77985074626865669</v>
      </c>
      <c r="CM62" s="14">
        <v>2.2388059701492536E-2</v>
      </c>
      <c r="CN62" s="14">
        <v>0.17910447761194029</v>
      </c>
      <c r="CO62" s="14">
        <v>1.4925373134328358E-2</v>
      </c>
      <c r="CP62" s="14">
        <v>0</v>
      </c>
      <c r="CQ62" s="30">
        <v>8</v>
      </c>
      <c r="CR62" s="15">
        <v>200</v>
      </c>
      <c r="CS62">
        <v>31</v>
      </c>
      <c r="CT62">
        <v>52</v>
      </c>
      <c r="CV62">
        <v>0</v>
      </c>
      <c r="CW62" s="14">
        <v>0.76127320954907163</v>
      </c>
      <c r="CX62" s="14">
        <v>0.69686411149825789</v>
      </c>
      <c r="CY62" s="14">
        <v>0.10801393728222997</v>
      </c>
      <c r="CZ62" s="14">
        <v>0.18118466898954705</v>
      </c>
      <c r="DA62" s="14">
        <v>0</v>
      </c>
      <c r="DB62" s="14">
        <v>0</v>
      </c>
      <c r="DC62" s="30">
        <v>8</v>
      </c>
      <c r="DD62" s="14" t="s">
        <v>488</v>
      </c>
      <c r="DE62" s="17" t="s">
        <v>439</v>
      </c>
      <c r="DF62" s="17" t="s">
        <v>439</v>
      </c>
      <c r="DG62" s="17" t="s">
        <v>442</v>
      </c>
      <c r="DH62" s="21">
        <v>91.62</v>
      </c>
      <c r="DI62" s="16">
        <v>353</v>
      </c>
      <c r="DJ62" s="16">
        <v>0</v>
      </c>
      <c r="DK62" s="16">
        <v>268</v>
      </c>
      <c r="DL62" s="23">
        <v>0.75920679886685549</v>
      </c>
      <c r="DM62" s="16">
        <v>0</v>
      </c>
      <c r="DN62">
        <v>0</v>
      </c>
      <c r="DO62" s="25"/>
      <c r="DP62" s="25"/>
      <c r="DQ62" s="25"/>
      <c r="DR62" s="26"/>
      <c r="DS62" s="26"/>
    </row>
    <row r="63" spans="1:123" ht="14.25" customHeight="1">
      <c r="A63" s="2">
        <v>4912</v>
      </c>
      <c r="B63" s="3" t="s">
        <v>42</v>
      </c>
      <c r="C63" s="3" t="s">
        <v>44</v>
      </c>
      <c r="D63" s="4">
        <v>61</v>
      </c>
      <c r="E63" s="3" t="s">
        <v>17</v>
      </c>
      <c r="F63" s="3" t="s">
        <v>32</v>
      </c>
      <c r="G63" s="4" t="s">
        <v>179</v>
      </c>
      <c r="H63" s="4" t="b">
        <v>1</v>
      </c>
      <c r="I63" s="4" t="b">
        <v>1</v>
      </c>
      <c r="J63" s="5" t="s">
        <v>179</v>
      </c>
      <c r="K63" s="5" t="s">
        <v>44</v>
      </c>
      <c r="L63" s="5" t="s">
        <v>17</v>
      </c>
      <c r="M63" s="5" t="s">
        <v>32</v>
      </c>
      <c r="N63" s="2" t="s">
        <v>13</v>
      </c>
      <c r="O63" s="2" t="s">
        <v>399</v>
      </c>
      <c r="P63" s="2">
        <v>70840</v>
      </c>
      <c r="Q63" s="2" t="s">
        <v>400</v>
      </c>
      <c r="R63" s="2">
        <v>499</v>
      </c>
      <c r="S63" s="2">
        <v>176</v>
      </c>
      <c r="T63" s="2">
        <v>176</v>
      </c>
      <c r="U63" s="2">
        <v>6</v>
      </c>
      <c r="V63" s="2">
        <v>170</v>
      </c>
      <c r="W63" s="2">
        <v>111</v>
      </c>
      <c r="X63" s="2">
        <v>33</v>
      </c>
      <c r="Y63" s="2">
        <v>1</v>
      </c>
      <c r="Z63" s="2">
        <v>0</v>
      </c>
      <c r="AA63" s="2">
        <v>18</v>
      </c>
      <c r="AB63" s="2">
        <v>1</v>
      </c>
      <c r="AC63" s="2">
        <v>4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499</v>
      </c>
      <c r="AQ63" s="2">
        <v>176</v>
      </c>
      <c r="AR63" s="2">
        <v>176</v>
      </c>
      <c r="AS63" s="2">
        <v>8</v>
      </c>
      <c r="AT63" s="2">
        <v>168</v>
      </c>
      <c r="AU63" s="2">
        <v>1</v>
      </c>
      <c r="AV63" s="2">
        <v>3</v>
      </c>
      <c r="AW63" s="2">
        <v>0</v>
      </c>
      <c r="AX63" s="2">
        <v>13</v>
      </c>
      <c r="AY63" s="2">
        <v>5</v>
      </c>
      <c r="AZ63" s="2">
        <v>142</v>
      </c>
      <c r="BA63" s="2">
        <v>1</v>
      </c>
      <c r="BB63" s="2">
        <v>3</v>
      </c>
      <c r="BC63" s="11" t="s">
        <v>13</v>
      </c>
      <c r="BD63" s="11" t="s">
        <v>424</v>
      </c>
      <c r="BE63" s="11">
        <v>70840</v>
      </c>
      <c r="BF63" s="11" t="s">
        <v>400</v>
      </c>
      <c r="BG63" s="11">
        <v>61</v>
      </c>
      <c r="BH63" s="11">
        <v>483</v>
      </c>
      <c r="BI63" s="11">
        <v>143</v>
      </c>
      <c r="BJ63" s="11">
        <v>143</v>
      </c>
      <c r="BK63" s="11">
        <v>11</v>
      </c>
      <c r="BL63" s="11">
        <v>132</v>
      </c>
      <c r="BM63" s="11">
        <v>111</v>
      </c>
      <c r="BN63" s="11">
        <v>9</v>
      </c>
      <c r="BO63" s="11">
        <v>1</v>
      </c>
      <c r="BP63" s="11">
        <v>1</v>
      </c>
      <c r="BQ63" s="11">
        <v>2</v>
      </c>
      <c r="BR63" s="11">
        <v>0</v>
      </c>
      <c r="BS63" s="11">
        <v>8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>
        <f t="shared" si="0"/>
        <v>121</v>
      </c>
      <c r="CF63">
        <f t="shared" si="1"/>
        <v>3</v>
      </c>
      <c r="CG63">
        <f t="shared" si="2"/>
        <v>8</v>
      </c>
      <c r="CH63">
        <f t="shared" si="3"/>
        <v>0</v>
      </c>
      <c r="CI63">
        <v>0</v>
      </c>
      <c r="CJ63" s="11">
        <v>483</v>
      </c>
      <c r="CK63" s="14">
        <v>0.29606625258799174</v>
      </c>
      <c r="CL63" s="14">
        <v>0.84615384615384615</v>
      </c>
      <c r="CM63" s="14">
        <v>2.097902097902098E-2</v>
      </c>
      <c r="CN63" s="14">
        <v>5.5944055944055944E-2</v>
      </c>
      <c r="CO63" s="14">
        <v>0</v>
      </c>
      <c r="CP63" s="14">
        <v>0</v>
      </c>
      <c r="CQ63" s="30">
        <v>5</v>
      </c>
      <c r="CR63" s="15">
        <v>144</v>
      </c>
      <c r="CS63">
        <v>5</v>
      </c>
      <c r="CT63">
        <v>19</v>
      </c>
      <c r="CV63">
        <v>2</v>
      </c>
      <c r="CW63" s="14">
        <v>0.35270541082164331</v>
      </c>
      <c r="CX63" s="14">
        <v>0.81818181818181823</v>
      </c>
      <c r="CY63" s="14">
        <v>2.8409090909090908E-2</v>
      </c>
      <c r="CZ63" s="14">
        <v>0.10795454545454546</v>
      </c>
      <c r="DA63" s="14">
        <v>0</v>
      </c>
      <c r="DB63" s="14">
        <v>1.1363636363636364E-2</v>
      </c>
      <c r="DC63" s="30">
        <v>5</v>
      </c>
      <c r="DD63" s="14" t="s">
        <v>474</v>
      </c>
      <c r="DE63" s="17" t="s">
        <v>437</v>
      </c>
      <c r="DF63" s="17" t="s">
        <v>437</v>
      </c>
      <c r="DG63" s="17" t="s">
        <v>453</v>
      </c>
      <c r="DH63" s="21">
        <v>150.34</v>
      </c>
      <c r="DI63" s="16">
        <v>483</v>
      </c>
      <c r="DJ63" s="16">
        <v>0</v>
      </c>
      <c r="DK63" s="16">
        <v>143</v>
      </c>
      <c r="DL63" s="23">
        <v>0.29606625258799174</v>
      </c>
      <c r="DM63" s="16">
        <v>1</v>
      </c>
      <c r="DN63">
        <v>5</v>
      </c>
      <c r="DO63" s="25"/>
      <c r="DP63" s="25"/>
      <c r="DQ63" s="25"/>
      <c r="DR63" s="26"/>
      <c r="DS63" s="26"/>
    </row>
    <row r="64" spans="1:123" ht="14.25" customHeight="1">
      <c r="A64" s="2">
        <v>4913</v>
      </c>
      <c r="B64" s="3" t="s">
        <v>42</v>
      </c>
      <c r="C64" s="3" t="s">
        <v>44</v>
      </c>
      <c r="D64" s="4">
        <v>62</v>
      </c>
      <c r="E64" s="3" t="s">
        <v>12</v>
      </c>
      <c r="F64" s="3" t="s">
        <v>180</v>
      </c>
      <c r="G64" s="4" t="s">
        <v>181</v>
      </c>
      <c r="H64" s="4" t="b">
        <v>1</v>
      </c>
      <c r="I64" s="4" t="b">
        <v>1</v>
      </c>
      <c r="J64" s="5" t="s">
        <v>181</v>
      </c>
      <c r="K64" s="5" t="s">
        <v>44</v>
      </c>
      <c r="L64" s="5" t="s">
        <v>12</v>
      </c>
      <c r="M64" s="5" t="s">
        <v>180</v>
      </c>
      <c r="N64" s="2" t="s">
        <v>13</v>
      </c>
      <c r="O64" s="2" t="s">
        <v>399</v>
      </c>
      <c r="P64" s="2">
        <v>70840</v>
      </c>
      <c r="Q64" s="2" t="s">
        <v>400</v>
      </c>
      <c r="R64" s="2">
        <v>53</v>
      </c>
      <c r="S64" s="2">
        <v>38</v>
      </c>
      <c r="T64" s="2">
        <v>38</v>
      </c>
      <c r="U64" s="2">
        <v>0</v>
      </c>
      <c r="V64" s="2">
        <v>38</v>
      </c>
      <c r="W64" s="2">
        <v>21</v>
      </c>
      <c r="X64" s="2">
        <v>8</v>
      </c>
      <c r="Y64" s="2">
        <v>0</v>
      </c>
      <c r="Z64" s="2">
        <v>2</v>
      </c>
      <c r="AA64" s="2">
        <v>1</v>
      </c>
      <c r="AB64" s="2">
        <v>3</v>
      </c>
      <c r="AC64" s="2">
        <v>0</v>
      </c>
      <c r="AD64" s="2">
        <v>0</v>
      </c>
      <c r="AE64" s="2">
        <v>0</v>
      </c>
      <c r="AF64" s="2">
        <v>0</v>
      </c>
      <c r="AG64" s="2">
        <v>2</v>
      </c>
      <c r="AH64" s="2">
        <v>1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53</v>
      </c>
      <c r="AQ64" s="2">
        <v>38</v>
      </c>
      <c r="AR64" s="2">
        <v>38</v>
      </c>
      <c r="AS64" s="2">
        <v>0</v>
      </c>
      <c r="AT64" s="2">
        <v>38</v>
      </c>
      <c r="AU64" s="2">
        <v>1</v>
      </c>
      <c r="AV64" s="2">
        <v>0</v>
      </c>
      <c r="AW64" s="2">
        <v>0</v>
      </c>
      <c r="AX64" s="2">
        <v>3</v>
      </c>
      <c r="AY64" s="2">
        <v>0</v>
      </c>
      <c r="AZ64" s="2">
        <v>32</v>
      </c>
      <c r="BA64" s="2">
        <v>0</v>
      </c>
      <c r="BB64" s="2">
        <v>2</v>
      </c>
      <c r="BC64" s="11" t="s">
        <v>13</v>
      </c>
      <c r="BD64" s="11" t="s">
        <v>424</v>
      </c>
      <c r="BE64" s="11">
        <v>70840</v>
      </c>
      <c r="BF64" s="11" t="s">
        <v>400</v>
      </c>
      <c r="BG64" s="11">
        <v>62</v>
      </c>
      <c r="BH64" s="11">
        <v>51</v>
      </c>
      <c r="BI64" s="11">
        <v>38</v>
      </c>
      <c r="BJ64" s="11">
        <v>38</v>
      </c>
      <c r="BK64" s="11">
        <v>0</v>
      </c>
      <c r="BL64" s="11">
        <v>38</v>
      </c>
      <c r="BM64" s="11">
        <v>30</v>
      </c>
      <c r="BN64" s="11">
        <v>2</v>
      </c>
      <c r="BO64" s="11">
        <v>1</v>
      </c>
      <c r="BP64" s="11">
        <v>0</v>
      </c>
      <c r="BQ64" s="11">
        <v>0</v>
      </c>
      <c r="BR64" s="11">
        <v>1</v>
      </c>
      <c r="BS64" s="11">
        <v>2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2</v>
      </c>
      <c r="CA64" s="11">
        <v>0</v>
      </c>
      <c r="CB64" s="11">
        <v>0</v>
      </c>
      <c r="CC64" s="11">
        <v>0</v>
      </c>
      <c r="CD64" s="11">
        <v>0</v>
      </c>
      <c r="CE64">
        <f t="shared" si="0"/>
        <v>33</v>
      </c>
      <c r="CF64">
        <f t="shared" si="1"/>
        <v>0</v>
      </c>
      <c r="CG64">
        <f t="shared" si="2"/>
        <v>2</v>
      </c>
      <c r="CH64">
        <f t="shared" si="3"/>
        <v>2</v>
      </c>
      <c r="CI64">
        <v>1</v>
      </c>
      <c r="CJ64" s="11">
        <v>51</v>
      </c>
      <c r="CK64" s="14">
        <v>0.74509803921568629</v>
      </c>
      <c r="CL64" s="14">
        <v>0.86842105263157898</v>
      </c>
      <c r="CM64" s="14">
        <v>0</v>
      </c>
      <c r="CN64" s="14">
        <v>5.2631578947368418E-2</v>
      </c>
      <c r="CO64" s="14">
        <v>5.2631578947368418E-2</v>
      </c>
      <c r="CP64" s="14">
        <v>2.6315789473684209E-2</v>
      </c>
      <c r="CQ64" s="30">
        <v>8</v>
      </c>
      <c r="CR64" s="15">
        <v>31</v>
      </c>
      <c r="CS64">
        <v>5</v>
      </c>
      <c r="CT64">
        <v>2</v>
      </c>
      <c r="CV64">
        <v>0</v>
      </c>
      <c r="CW64" s="14">
        <v>0.71698113207547165</v>
      </c>
      <c r="CX64" s="14">
        <v>0.81578947368421051</v>
      </c>
      <c r="CY64" s="14">
        <v>0.13157894736842105</v>
      </c>
      <c r="CZ64" s="14">
        <v>5.2631578947368418E-2</v>
      </c>
      <c r="DA64" s="14">
        <v>0</v>
      </c>
      <c r="DB64" s="14">
        <v>0</v>
      </c>
      <c r="DC64" s="30">
        <v>8</v>
      </c>
      <c r="DD64" s="14" t="s">
        <v>488</v>
      </c>
      <c r="DE64" s="17" t="s">
        <v>439</v>
      </c>
      <c r="DF64" s="17" t="s">
        <v>439</v>
      </c>
      <c r="DG64" s="17" t="s">
        <v>442</v>
      </c>
      <c r="DH64" s="21">
        <v>9.73</v>
      </c>
      <c r="DI64" s="16">
        <v>51</v>
      </c>
      <c r="DJ64" s="16">
        <v>0</v>
      </c>
      <c r="DK64" s="16">
        <v>38</v>
      </c>
      <c r="DL64" s="23">
        <v>0.74509803921568629</v>
      </c>
      <c r="DM64" s="16">
        <v>0</v>
      </c>
      <c r="DN64">
        <v>0</v>
      </c>
      <c r="DO64" s="25"/>
      <c r="DP64" s="25"/>
      <c r="DQ64" s="25"/>
      <c r="DR64" s="26"/>
      <c r="DS64" s="26"/>
    </row>
    <row r="65" spans="1:123" ht="14.25" customHeight="1">
      <c r="A65" s="2">
        <v>4914</v>
      </c>
      <c r="B65" s="3" t="s">
        <v>42</v>
      </c>
      <c r="C65" s="3" t="s">
        <v>44</v>
      </c>
      <c r="D65" s="4">
        <v>63</v>
      </c>
      <c r="E65" s="3" t="s">
        <v>17</v>
      </c>
      <c r="F65" s="3" t="s">
        <v>182</v>
      </c>
      <c r="G65" s="4" t="s">
        <v>183</v>
      </c>
      <c r="H65" s="4" t="b">
        <v>1</v>
      </c>
      <c r="I65" s="4" t="b">
        <v>1</v>
      </c>
      <c r="J65" s="5" t="s">
        <v>183</v>
      </c>
      <c r="K65" s="5" t="s">
        <v>44</v>
      </c>
      <c r="L65" s="5" t="s">
        <v>17</v>
      </c>
      <c r="M65" s="5" t="s">
        <v>182</v>
      </c>
      <c r="N65" s="2" t="s">
        <v>13</v>
      </c>
      <c r="O65" s="2" t="s">
        <v>399</v>
      </c>
      <c r="P65" s="2">
        <v>70840</v>
      </c>
      <c r="Q65" s="2" t="s">
        <v>400</v>
      </c>
      <c r="R65" s="2">
        <v>533</v>
      </c>
      <c r="S65" s="2">
        <v>205</v>
      </c>
      <c r="T65" s="2">
        <v>204</v>
      </c>
      <c r="U65" s="2">
        <v>4</v>
      </c>
      <c r="V65" s="2">
        <v>200</v>
      </c>
      <c r="W65" s="2">
        <v>143</v>
      </c>
      <c r="X65" s="2">
        <v>43</v>
      </c>
      <c r="Y65" s="2">
        <v>0</v>
      </c>
      <c r="Z65" s="2">
        <v>4</v>
      </c>
      <c r="AA65" s="2">
        <v>1</v>
      </c>
      <c r="AB65" s="2">
        <v>3</v>
      </c>
      <c r="AC65" s="2">
        <v>1</v>
      </c>
      <c r="AD65" s="2">
        <v>0</v>
      </c>
      <c r="AE65" s="2">
        <v>0</v>
      </c>
      <c r="AF65" s="2">
        <v>0</v>
      </c>
      <c r="AG65" s="2">
        <v>3</v>
      </c>
      <c r="AH65" s="2">
        <v>0</v>
      </c>
      <c r="AI65" s="2">
        <v>0</v>
      </c>
      <c r="AJ65" s="2">
        <v>2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533</v>
      </c>
      <c r="AQ65" s="2">
        <v>205</v>
      </c>
      <c r="AR65" s="2">
        <v>205</v>
      </c>
      <c r="AS65" s="2">
        <v>8</v>
      </c>
      <c r="AT65" s="2">
        <v>197</v>
      </c>
      <c r="AU65" s="2">
        <v>6</v>
      </c>
      <c r="AV65" s="2">
        <v>2</v>
      </c>
      <c r="AW65" s="2">
        <v>0</v>
      </c>
      <c r="AX65" s="2">
        <v>3</v>
      </c>
      <c r="AY65" s="2">
        <v>4</v>
      </c>
      <c r="AZ65" s="2">
        <v>177</v>
      </c>
      <c r="BA65" s="2">
        <v>2</v>
      </c>
      <c r="BB65" s="2">
        <v>3</v>
      </c>
      <c r="BC65" s="11" t="s">
        <v>13</v>
      </c>
      <c r="BD65" s="11" t="s">
        <v>424</v>
      </c>
      <c r="BE65" s="11">
        <v>70840</v>
      </c>
      <c r="BF65" s="11" t="s">
        <v>400</v>
      </c>
      <c r="BG65" s="11">
        <v>63</v>
      </c>
      <c r="BH65" s="11">
        <v>523</v>
      </c>
      <c r="BI65" s="11">
        <v>238</v>
      </c>
      <c r="BJ65" s="11">
        <v>238</v>
      </c>
      <c r="BK65" s="11">
        <v>6</v>
      </c>
      <c r="BL65" s="11">
        <v>232</v>
      </c>
      <c r="BM65" s="11">
        <v>197</v>
      </c>
      <c r="BN65" s="11">
        <v>13</v>
      </c>
      <c r="BO65" s="11">
        <v>3</v>
      </c>
      <c r="BP65" s="11">
        <v>5</v>
      </c>
      <c r="BQ65" s="11">
        <v>3</v>
      </c>
      <c r="BR65" s="11">
        <v>0</v>
      </c>
      <c r="BS65" s="11">
        <v>5</v>
      </c>
      <c r="BT65" s="11">
        <v>0</v>
      </c>
      <c r="BU65" s="11">
        <v>0</v>
      </c>
      <c r="BV65" s="11">
        <v>1</v>
      </c>
      <c r="BW65" s="11">
        <v>0</v>
      </c>
      <c r="BX65" s="11">
        <v>2</v>
      </c>
      <c r="BY65" s="11">
        <v>0</v>
      </c>
      <c r="BZ65" s="11">
        <v>2</v>
      </c>
      <c r="CA65" s="11">
        <v>0</v>
      </c>
      <c r="CB65" s="11">
        <v>1</v>
      </c>
      <c r="CC65" s="11">
        <v>0</v>
      </c>
      <c r="CD65" s="11">
        <v>0</v>
      </c>
      <c r="CE65">
        <f t="shared" si="0"/>
        <v>213</v>
      </c>
      <c r="CF65">
        <f t="shared" si="1"/>
        <v>8</v>
      </c>
      <c r="CG65">
        <f t="shared" si="2"/>
        <v>7</v>
      </c>
      <c r="CH65">
        <f t="shared" si="3"/>
        <v>2</v>
      </c>
      <c r="CI65">
        <v>2</v>
      </c>
      <c r="CJ65" s="11">
        <v>523</v>
      </c>
      <c r="CK65" s="14">
        <v>0.45506692160611856</v>
      </c>
      <c r="CL65" s="14">
        <v>0.89495798319327735</v>
      </c>
      <c r="CM65" s="14">
        <v>3.3613445378151259E-2</v>
      </c>
      <c r="CN65" s="14">
        <v>2.9411764705882353E-2</v>
      </c>
      <c r="CO65" s="14">
        <v>8.4033613445378148E-3</v>
      </c>
      <c r="CP65" s="14">
        <v>8.4033613445378148E-3</v>
      </c>
      <c r="CQ65" s="30">
        <v>5</v>
      </c>
      <c r="CR65" s="15">
        <v>190</v>
      </c>
      <c r="CS65">
        <v>7</v>
      </c>
      <c r="CT65">
        <v>3</v>
      </c>
      <c r="CV65">
        <v>0</v>
      </c>
      <c r="CW65" s="14">
        <v>0.38461538461538464</v>
      </c>
      <c r="CX65" s="14">
        <v>0.92682926829268297</v>
      </c>
      <c r="CY65" s="14">
        <v>3.4146341463414637E-2</v>
      </c>
      <c r="CZ65" s="14">
        <v>1.4634146341463415E-2</v>
      </c>
      <c r="DA65" s="14">
        <v>0</v>
      </c>
      <c r="DB65" s="14">
        <v>0</v>
      </c>
      <c r="DC65" s="30">
        <v>5</v>
      </c>
      <c r="DD65" s="14" t="s">
        <v>474</v>
      </c>
      <c r="DE65" s="17" t="s">
        <v>437</v>
      </c>
      <c r="DF65" s="17" t="s">
        <v>437</v>
      </c>
      <c r="DG65" s="17" t="s">
        <v>453</v>
      </c>
      <c r="DH65" s="21">
        <v>134.79</v>
      </c>
      <c r="DI65" s="16">
        <v>523</v>
      </c>
      <c r="DJ65" s="16">
        <v>0</v>
      </c>
      <c r="DK65" s="16">
        <v>238</v>
      </c>
      <c r="DL65" s="23">
        <v>0.45506692160611856</v>
      </c>
      <c r="DM65" s="16">
        <v>1</v>
      </c>
      <c r="DN65">
        <v>5</v>
      </c>
      <c r="DO65" s="25"/>
      <c r="DP65" s="25"/>
      <c r="DQ65" s="25"/>
      <c r="DR65" s="26"/>
      <c r="DS65" s="26"/>
    </row>
    <row r="66" spans="1:123" ht="14.25" customHeight="1">
      <c r="A66" s="2">
        <v>4915</v>
      </c>
      <c r="B66" s="3" t="s">
        <v>42</v>
      </c>
      <c r="C66" s="3" t="s">
        <v>44</v>
      </c>
      <c r="D66" s="4">
        <v>64</v>
      </c>
      <c r="E66" s="3" t="s">
        <v>27</v>
      </c>
      <c r="F66" s="3" t="s">
        <v>184</v>
      </c>
      <c r="G66" s="4" t="s">
        <v>185</v>
      </c>
      <c r="H66" s="4" t="b">
        <v>1</v>
      </c>
      <c r="I66" s="4" t="b">
        <v>1</v>
      </c>
      <c r="J66" s="5" t="s">
        <v>185</v>
      </c>
      <c r="K66" s="5" t="s">
        <v>44</v>
      </c>
      <c r="L66" s="5" t="s">
        <v>27</v>
      </c>
      <c r="M66" s="5" t="s">
        <v>184</v>
      </c>
      <c r="N66" s="2" t="s">
        <v>13</v>
      </c>
      <c r="O66" s="2" t="s">
        <v>399</v>
      </c>
      <c r="P66" s="2">
        <v>70840</v>
      </c>
      <c r="Q66" s="2" t="s">
        <v>400</v>
      </c>
      <c r="R66" s="2">
        <v>117</v>
      </c>
      <c r="S66" s="2">
        <v>71</v>
      </c>
      <c r="T66" s="2">
        <v>71</v>
      </c>
      <c r="U66" s="2">
        <v>0</v>
      </c>
      <c r="V66" s="2">
        <v>71</v>
      </c>
      <c r="W66" s="2">
        <v>36</v>
      </c>
      <c r="X66" s="2">
        <v>14</v>
      </c>
      <c r="Y66" s="2">
        <v>0</v>
      </c>
      <c r="Z66" s="2">
        <v>1</v>
      </c>
      <c r="AA66" s="2">
        <v>0</v>
      </c>
      <c r="AB66" s="2">
        <v>5</v>
      </c>
      <c r="AC66" s="2">
        <v>2</v>
      </c>
      <c r="AD66" s="2">
        <v>0</v>
      </c>
      <c r="AE66" s="2">
        <v>0</v>
      </c>
      <c r="AF66" s="2">
        <v>1</v>
      </c>
      <c r="AG66" s="2">
        <v>12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117</v>
      </c>
      <c r="AQ66" s="2">
        <v>71</v>
      </c>
      <c r="AR66" s="2">
        <v>71</v>
      </c>
      <c r="AS66" s="2">
        <v>2</v>
      </c>
      <c r="AT66" s="2">
        <v>69</v>
      </c>
      <c r="AU66" s="2">
        <v>3</v>
      </c>
      <c r="AV66" s="2">
        <v>1</v>
      </c>
      <c r="AW66" s="2">
        <v>0</v>
      </c>
      <c r="AX66" s="2">
        <v>0</v>
      </c>
      <c r="AY66" s="2">
        <v>3</v>
      </c>
      <c r="AZ66" s="2">
        <v>50</v>
      </c>
      <c r="BA66" s="2">
        <v>3</v>
      </c>
      <c r="BB66" s="2">
        <v>9</v>
      </c>
      <c r="BC66" s="11" t="s">
        <v>13</v>
      </c>
      <c r="BD66" s="11" t="s">
        <v>424</v>
      </c>
      <c r="BE66" s="11">
        <v>70840</v>
      </c>
      <c r="BF66" s="11" t="s">
        <v>400</v>
      </c>
      <c r="BG66" s="11">
        <v>64</v>
      </c>
      <c r="BH66" s="11">
        <v>107</v>
      </c>
      <c r="BI66" s="11">
        <v>61</v>
      </c>
      <c r="BJ66" s="11">
        <v>61</v>
      </c>
      <c r="BK66" s="11">
        <v>1</v>
      </c>
      <c r="BL66" s="11">
        <v>60</v>
      </c>
      <c r="BM66" s="11">
        <v>43</v>
      </c>
      <c r="BN66" s="11">
        <v>6</v>
      </c>
      <c r="BO66" s="11">
        <v>1</v>
      </c>
      <c r="BP66" s="11">
        <v>0</v>
      </c>
      <c r="BQ66" s="11">
        <v>6</v>
      </c>
      <c r="BR66" s="11">
        <v>0</v>
      </c>
      <c r="BS66" s="11">
        <v>3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1</v>
      </c>
      <c r="CA66" s="11">
        <v>0</v>
      </c>
      <c r="CB66" s="11">
        <v>0</v>
      </c>
      <c r="CC66" s="11">
        <v>0</v>
      </c>
      <c r="CD66" s="11">
        <v>0</v>
      </c>
      <c r="CE66">
        <f t="shared" si="0"/>
        <v>50</v>
      </c>
      <c r="CF66">
        <f t="shared" si="1"/>
        <v>6</v>
      </c>
      <c r="CG66">
        <f t="shared" si="2"/>
        <v>3</v>
      </c>
      <c r="CH66">
        <f t="shared" si="3"/>
        <v>1</v>
      </c>
      <c r="CI66">
        <v>0</v>
      </c>
      <c r="CJ66" s="11">
        <v>107</v>
      </c>
      <c r="CK66" s="14">
        <v>0.57009345794392519</v>
      </c>
      <c r="CL66" s="14">
        <v>0.81967213114754101</v>
      </c>
      <c r="CM66" s="14">
        <v>9.8360655737704916E-2</v>
      </c>
      <c r="CN66" s="14">
        <v>4.9180327868852458E-2</v>
      </c>
      <c r="CO66" s="14">
        <v>1.6393442622950821E-2</v>
      </c>
      <c r="CP66" s="14">
        <v>0</v>
      </c>
      <c r="CQ66" s="30">
        <v>8</v>
      </c>
      <c r="CR66" s="15">
        <v>51</v>
      </c>
      <c r="CS66">
        <v>20</v>
      </c>
      <c r="CT66">
        <v>0</v>
      </c>
      <c r="CV66">
        <v>0</v>
      </c>
      <c r="CW66" s="14">
        <v>0.60683760683760679</v>
      </c>
      <c r="CX66" s="14">
        <v>0.71830985915492962</v>
      </c>
      <c r="CY66" s="14">
        <v>0.28169014084507044</v>
      </c>
      <c r="CZ66" s="14">
        <v>0</v>
      </c>
      <c r="DA66" s="14">
        <v>0</v>
      </c>
      <c r="DB66" s="14">
        <v>0</v>
      </c>
      <c r="DC66" s="30">
        <v>3</v>
      </c>
      <c r="DD66" s="14" t="s">
        <v>487</v>
      </c>
      <c r="DE66" s="17" t="s">
        <v>439</v>
      </c>
      <c r="DF66" s="17" t="s">
        <v>435</v>
      </c>
      <c r="DG66" s="17" t="s">
        <v>441</v>
      </c>
      <c r="DH66" s="21">
        <v>28.840000000000003</v>
      </c>
      <c r="DI66" s="16">
        <v>107</v>
      </c>
      <c r="DJ66" s="16">
        <v>0</v>
      </c>
      <c r="DK66" s="16">
        <v>61</v>
      </c>
      <c r="DL66" s="23">
        <v>0.57009345794392519</v>
      </c>
      <c r="DM66" s="16">
        <v>0</v>
      </c>
      <c r="DN66">
        <v>0</v>
      </c>
      <c r="DO66" s="25"/>
      <c r="DP66" s="25"/>
      <c r="DQ66" s="25"/>
      <c r="DR66" s="26"/>
      <c r="DS66" s="26"/>
    </row>
    <row r="67" spans="1:123" ht="14.25" customHeight="1">
      <c r="A67" s="2">
        <v>4916</v>
      </c>
      <c r="B67" s="3" t="s">
        <v>42</v>
      </c>
      <c r="C67" s="3" t="s">
        <v>44</v>
      </c>
      <c r="D67" s="4">
        <v>65</v>
      </c>
      <c r="E67" s="3" t="s">
        <v>27</v>
      </c>
      <c r="F67" s="3" t="s">
        <v>37</v>
      </c>
      <c r="G67" s="4" t="s">
        <v>186</v>
      </c>
      <c r="H67" s="4" t="b">
        <v>1</v>
      </c>
      <c r="I67" s="4" t="b">
        <v>1</v>
      </c>
      <c r="J67" s="5" t="s">
        <v>186</v>
      </c>
      <c r="K67" s="5" t="s">
        <v>44</v>
      </c>
      <c r="L67" s="5" t="s">
        <v>27</v>
      </c>
      <c r="M67" s="5" t="s">
        <v>37</v>
      </c>
      <c r="N67" s="2" t="s">
        <v>13</v>
      </c>
      <c r="O67" s="2" t="s">
        <v>399</v>
      </c>
      <c r="P67" s="2">
        <v>70840</v>
      </c>
      <c r="Q67" s="2" t="s">
        <v>400</v>
      </c>
      <c r="R67" s="2">
        <v>265</v>
      </c>
      <c r="S67" s="2">
        <v>212</v>
      </c>
      <c r="T67" s="2">
        <v>212</v>
      </c>
      <c r="U67" s="2">
        <v>7</v>
      </c>
      <c r="V67" s="2">
        <v>205</v>
      </c>
      <c r="W67" s="2">
        <v>168</v>
      </c>
      <c r="X67" s="2">
        <v>23</v>
      </c>
      <c r="Y67" s="2">
        <v>0</v>
      </c>
      <c r="Z67" s="2">
        <v>3</v>
      </c>
      <c r="AA67" s="2">
        <v>7</v>
      </c>
      <c r="AB67" s="2">
        <v>0</v>
      </c>
      <c r="AC67" s="2">
        <v>1</v>
      </c>
      <c r="AD67" s="2">
        <v>0</v>
      </c>
      <c r="AE67" s="2">
        <v>0</v>
      </c>
      <c r="AF67" s="2">
        <v>0</v>
      </c>
      <c r="AG67" s="2">
        <v>2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</v>
      </c>
      <c r="AP67" s="2">
        <v>265</v>
      </c>
      <c r="AQ67" s="2">
        <v>212</v>
      </c>
      <c r="AR67" s="2">
        <v>212</v>
      </c>
      <c r="AS67" s="2">
        <v>1</v>
      </c>
      <c r="AT67" s="2">
        <v>211</v>
      </c>
      <c r="AU67" s="2">
        <v>1</v>
      </c>
      <c r="AV67" s="2">
        <v>0</v>
      </c>
      <c r="AW67" s="2">
        <v>0</v>
      </c>
      <c r="AX67" s="2">
        <v>6</v>
      </c>
      <c r="AY67" s="2">
        <v>6</v>
      </c>
      <c r="AZ67" s="2">
        <v>196</v>
      </c>
      <c r="BA67" s="2">
        <v>0</v>
      </c>
      <c r="BB67" s="2">
        <v>2</v>
      </c>
      <c r="BC67" s="11" t="s">
        <v>13</v>
      </c>
      <c r="BD67" s="11" t="s">
        <v>424</v>
      </c>
      <c r="BE67" s="11">
        <v>70840</v>
      </c>
      <c r="BF67" s="11" t="s">
        <v>400</v>
      </c>
      <c r="BG67" s="11">
        <v>65</v>
      </c>
      <c r="BH67" s="11">
        <v>261</v>
      </c>
      <c r="BI67" s="11">
        <v>167</v>
      </c>
      <c r="BJ67" s="11">
        <v>167</v>
      </c>
      <c r="BK67" s="11">
        <v>10</v>
      </c>
      <c r="BL67" s="11">
        <v>157</v>
      </c>
      <c r="BM67" s="11">
        <v>133</v>
      </c>
      <c r="BN67" s="11">
        <v>6</v>
      </c>
      <c r="BO67" s="11">
        <v>0</v>
      </c>
      <c r="BP67" s="11">
        <v>1</v>
      </c>
      <c r="BQ67" s="11">
        <v>1</v>
      </c>
      <c r="BR67" s="11">
        <v>0</v>
      </c>
      <c r="BS67" s="11">
        <v>13</v>
      </c>
      <c r="BT67" s="11">
        <v>0</v>
      </c>
      <c r="BU67" s="11">
        <v>0</v>
      </c>
      <c r="BV67" s="11">
        <v>1</v>
      </c>
      <c r="BW67" s="11">
        <v>1</v>
      </c>
      <c r="BX67" s="11">
        <v>0</v>
      </c>
      <c r="BY67" s="11">
        <v>0</v>
      </c>
      <c r="BZ67" s="11">
        <v>1</v>
      </c>
      <c r="CA67" s="11">
        <v>0</v>
      </c>
      <c r="CB67" s="11">
        <v>0</v>
      </c>
      <c r="CC67" s="11">
        <v>0</v>
      </c>
      <c r="CD67" s="11">
        <v>0</v>
      </c>
      <c r="CE67">
        <f t="shared" si="0"/>
        <v>139</v>
      </c>
      <c r="CF67">
        <f t="shared" si="1"/>
        <v>2</v>
      </c>
      <c r="CG67">
        <f t="shared" si="2"/>
        <v>14</v>
      </c>
      <c r="CH67">
        <f t="shared" si="3"/>
        <v>1</v>
      </c>
      <c r="CI67">
        <v>1</v>
      </c>
      <c r="CJ67" s="11">
        <v>261</v>
      </c>
      <c r="CK67" s="14">
        <v>0.63984674329501912</v>
      </c>
      <c r="CL67" s="14">
        <v>0.83233532934131738</v>
      </c>
      <c r="CM67" s="14">
        <v>1.7964071856287425E-2</v>
      </c>
      <c r="CN67" s="14">
        <v>7.7844311377245512E-2</v>
      </c>
      <c r="CO67" s="14">
        <v>5.9880239520958087E-3</v>
      </c>
      <c r="CP67" s="14">
        <v>5.9880239520958087E-3</v>
      </c>
      <c r="CQ67" s="30">
        <v>8</v>
      </c>
      <c r="CR67" s="15">
        <v>194</v>
      </c>
      <c r="CS67">
        <v>3</v>
      </c>
      <c r="CT67">
        <v>7</v>
      </c>
      <c r="CV67">
        <v>1</v>
      </c>
      <c r="CW67" s="14">
        <v>0.8</v>
      </c>
      <c r="CX67" s="14">
        <v>0.91509433962264153</v>
      </c>
      <c r="CY67" s="14">
        <v>1.4150943396226415E-2</v>
      </c>
      <c r="CZ67" s="14">
        <v>3.3018867924528301E-2</v>
      </c>
      <c r="DA67" s="14">
        <v>0</v>
      </c>
      <c r="DB67" s="14">
        <v>4.7169811320754715E-3</v>
      </c>
      <c r="DC67" s="30">
        <v>8</v>
      </c>
      <c r="DD67" s="14" t="s">
        <v>488</v>
      </c>
      <c r="DE67" s="17" t="s">
        <v>439</v>
      </c>
      <c r="DF67" s="17" t="s">
        <v>439</v>
      </c>
      <c r="DG67" s="17" t="s">
        <v>442</v>
      </c>
      <c r="DH67" s="21">
        <v>57.25</v>
      </c>
      <c r="DI67" s="16">
        <v>261</v>
      </c>
      <c r="DJ67" s="16">
        <v>0</v>
      </c>
      <c r="DK67" s="16">
        <v>167</v>
      </c>
      <c r="DL67" s="23">
        <v>0.63984674329501912</v>
      </c>
      <c r="DM67" s="16">
        <v>0</v>
      </c>
      <c r="DN67">
        <v>0</v>
      </c>
      <c r="DO67" s="25"/>
      <c r="DP67" s="25"/>
      <c r="DQ67" s="25"/>
      <c r="DR67" s="26"/>
      <c r="DS67" s="26"/>
    </row>
    <row r="68" spans="1:123" ht="14.25" customHeight="1">
      <c r="A68" s="2">
        <v>4917</v>
      </c>
      <c r="B68" s="3" t="s">
        <v>42</v>
      </c>
      <c r="C68" s="3" t="s">
        <v>44</v>
      </c>
      <c r="D68" s="4">
        <v>66</v>
      </c>
      <c r="E68" s="3" t="s">
        <v>12</v>
      </c>
      <c r="F68" s="3" t="s">
        <v>187</v>
      </c>
      <c r="G68" s="4" t="s">
        <v>188</v>
      </c>
      <c r="H68" s="4" t="b">
        <v>1</v>
      </c>
      <c r="I68" s="4" t="b">
        <v>1</v>
      </c>
      <c r="J68" s="5" t="s">
        <v>188</v>
      </c>
      <c r="K68" s="5" t="s">
        <v>44</v>
      </c>
      <c r="L68" s="5" t="s">
        <v>12</v>
      </c>
      <c r="M68" s="5" t="s">
        <v>187</v>
      </c>
      <c r="N68" s="2" t="s">
        <v>13</v>
      </c>
      <c r="O68" s="2" t="s">
        <v>399</v>
      </c>
      <c r="P68" s="2">
        <v>70840</v>
      </c>
      <c r="Q68" s="2" t="s">
        <v>400</v>
      </c>
      <c r="R68" s="2">
        <v>499</v>
      </c>
      <c r="S68" s="2">
        <v>116</v>
      </c>
      <c r="T68" s="2">
        <v>116</v>
      </c>
      <c r="U68" s="2">
        <v>3</v>
      </c>
      <c r="V68" s="2">
        <v>113</v>
      </c>
      <c r="W68" s="2">
        <v>81</v>
      </c>
      <c r="X68" s="2">
        <v>13</v>
      </c>
      <c r="Y68" s="2">
        <v>0</v>
      </c>
      <c r="Z68" s="2">
        <v>1</v>
      </c>
      <c r="AA68" s="2">
        <v>12</v>
      </c>
      <c r="AB68" s="2">
        <v>2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3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499</v>
      </c>
      <c r="AQ68" s="2">
        <v>116</v>
      </c>
      <c r="AR68" s="2">
        <v>116</v>
      </c>
      <c r="AS68" s="2">
        <v>2</v>
      </c>
      <c r="AT68" s="2">
        <v>114</v>
      </c>
      <c r="AU68" s="2">
        <v>4</v>
      </c>
      <c r="AV68" s="2">
        <v>0</v>
      </c>
      <c r="AW68" s="2">
        <v>0</v>
      </c>
      <c r="AX68" s="2">
        <v>11</v>
      </c>
      <c r="AY68" s="2">
        <v>2</v>
      </c>
      <c r="AZ68" s="2">
        <v>96</v>
      </c>
      <c r="BA68" s="2">
        <v>1</v>
      </c>
      <c r="BB68" s="2">
        <v>0</v>
      </c>
      <c r="BC68" s="11" t="s">
        <v>13</v>
      </c>
      <c r="BD68" s="11" t="s">
        <v>424</v>
      </c>
      <c r="BE68" s="11">
        <v>70840</v>
      </c>
      <c r="BF68" s="11" t="s">
        <v>400</v>
      </c>
      <c r="BG68" s="11">
        <v>66</v>
      </c>
      <c r="BH68" s="11">
        <v>492</v>
      </c>
      <c r="BI68" s="11">
        <v>122</v>
      </c>
      <c r="BJ68" s="11">
        <v>122</v>
      </c>
      <c r="BK68" s="11">
        <v>0</v>
      </c>
      <c r="BL68" s="11">
        <v>122</v>
      </c>
      <c r="BM68" s="11">
        <v>93</v>
      </c>
      <c r="BN68" s="11">
        <v>5</v>
      </c>
      <c r="BO68" s="11">
        <v>2</v>
      </c>
      <c r="BP68" s="11">
        <v>4</v>
      </c>
      <c r="BQ68" s="11">
        <v>2</v>
      </c>
      <c r="BR68" s="11">
        <v>0</v>
      </c>
      <c r="BS68" s="11">
        <v>15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1</v>
      </c>
      <c r="CE68">
        <f t="shared" ref="CE68:CE74" si="4">BM68+BN68+BO68</f>
        <v>100</v>
      </c>
      <c r="CF68">
        <f t="shared" ref="CF68:CF74" si="5">BP68+BQ68</f>
        <v>6</v>
      </c>
      <c r="CG68">
        <f t="shared" ref="CG68:CG74" si="6">BS68+BW68+BX68</f>
        <v>15</v>
      </c>
      <c r="CH68">
        <f t="shared" ref="CH68:CH74" si="7">BZ68</f>
        <v>0</v>
      </c>
      <c r="CI68">
        <v>1</v>
      </c>
      <c r="CJ68" s="11">
        <v>492</v>
      </c>
      <c r="CK68" s="14">
        <v>0.24796747967479674</v>
      </c>
      <c r="CL68" s="14">
        <v>0.81967213114754101</v>
      </c>
      <c r="CM68" s="14">
        <v>4.9180327868852458E-2</v>
      </c>
      <c r="CN68" s="14">
        <v>0.12295081967213115</v>
      </c>
      <c r="CO68" s="14">
        <v>0</v>
      </c>
      <c r="CP68" s="14">
        <v>8.1967213114754103E-3</v>
      </c>
      <c r="CQ68" s="30">
        <v>5</v>
      </c>
      <c r="CR68" s="15">
        <v>95</v>
      </c>
      <c r="CS68">
        <v>3</v>
      </c>
      <c r="CT68">
        <v>15</v>
      </c>
      <c r="CV68">
        <v>0</v>
      </c>
      <c r="CW68" s="14">
        <v>0.23246492985971945</v>
      </c>
      <c r="CX68" s="14">
        <v>0.81896551724137934</v>
      </c>
      <c r="CY68" s="14">
        <v>2.5862068965517241E-2</v>
      </c>
      <c r="CZ68" s="14">
        <v>0.12931034482758622</v>
      </c>
      <c r="DA68" s="14">
        <v>0</v>
      </c>
      <c r="DB68" s="14">
        <v>0</v>
      </c>
      <c r="DC68" s="30">
        <v>5</v>
      </c>
      <c r="DD68" s="14" t="s">
        <v>474</v>
      </c>
      <c r="DE68" s="17" t="s">
        <v>437</v>
      </c>
      <c r="DF68" s="17" t="s">
        <v>437</v>
      </c>
      <c r="DG68" s="17" t="s">
        <v>453</v>
      </c>
      <c r="DH68" s="21">
        <v>168.38</v>
      </c>
      <c r="DI68" s="16">
        <v>492</v>
      </c>
      <c r="DJ68" s="16">
        <v>0</v>
      </c>
      <c r="DK68" s="16">
        <v>122</v>
      </c>
      <c r="DL68" s="23">
        <v>0.24796747967479674</v>
      </c>
      <c r="DM68" s="16">
        <v>1</v>
      </c>
      <c r="DN68">
        <v>5</v>
      </c>
      <c r="DO68" s="25"/>
      <c r="DP68" s="25"/>
      <c r="DQ68" s="25"/>
      <c r="DR68" s="26"/>
      <c r="DS68" s="26"/>
    </row>
    <row r="69" spans="1:123" ht="14.25" customHeight="1">
      <c r="A69" s="2">
        <v>4918</v>
      </c>
      <c r="B69" s="3" t="s">
        <v>42</v>
      </c>
      <c r="C69" s="3" t="s">
        <v>44</v>
      </c>
      <c r="D69" s="4">
        <v>67</v>
      </c>
      <c r="E69" s="3" t="s">
        <v>31</v>
      </c>
      <c r="F69" s="3" t="s">
        <v>187</v>
      </c>
      <c r="G69" s="4" t="s">
        <v>189</v>
      </c>
      <c r="H69" s="4" t="b">
        <v>1</v>
      </c>
      <c r="I69" s="4" t="b">
        <v>1</v>
      </c>
      <c r="J69" s="5" t="s">
        <v>189</v>
      </c>
      <c r="K69" s="5" t="s">
        <v>44</v>
      </c>
      <c r="L69" s="5" t="s">
        <v>31</v>
      </c>
      <c r="M69" s="5" t="s">
        <v>187</v>
      </c>
      <c r="N69" s="2" t="s">
        <v>13</v>
      </c>
      <c r="O69" s="2" t="s">
        <v>399</v>
      </c>
      <c r="P69" s="2">
        <v>70840</v>
      </c>
      <c r="Q69" s="2" t="s">
        <v>400</v>
      </c>
      <c r="R69" s="2">
        <v>462</v>
      </c>
      <c r="S69" s="2">
        <v>137</v>
      </c>
      <c r="T69" s="2">
        <v>137</v>
      </c>
      <c r="U69" s="2">
        <v>3</v>
      </c>
      <c r="V69" s="2">
        <v>134</v>
      </c>
      <c r="W69" s="2">
        <v>87</v>
      </c>
      <c r="X69" s="2">
        <v>16</v>
      </c>
      <c r="Y69" s="2">
        <v>0</v>
      </c>
      <c r="Z69" s="2">
        <v>3</v>
      </c>
      <c r="AA69" s="2">
        <v>13</v>
      </c>
      <c r="AB69" s="2">
        <v>5</v>
      </c>
      <c r="AC69" s="2">
        <v>3</v>
      </c>
      <c r="AD69" s="2">
        <v>2</v>
      </c>
      <c r="AE69" s="2">
        <v>2</v>
      </c>
      <c r="AF69" s="2">
        <v>3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462</v>
      </c>
      <c r="AQ69" s="2">
        <v>137</v>
      </c>
      <c r="AR69" s="2">
        <v>137</v>
      </c>
      <c r="AS69" s="2">
        <v>1</v>
      </c>
      <c r="AT69" s="2">
        <v>136</v>
      </c>
      <c r="AU69" s="2">
        <v>8</v>
      </c>
      <c r="AV69" s="2">
        <v>7</v>
      </c>
      <c r="AW69" s="2">
        <v>5</v>
      </c>
      <c r="AX69" s="2">
        <v>6</v>
      </c>
      <c r="AY69" s="2">
        <v>6</v>
      </c>
      <c r="AZ69" s="2">
        <v>102</v>
      </c>
      <c r="BA69" s="2">
        <v>2</v>
      </c>
      <c r="BB69" s="2">
        <v>0</v>
      </c>
      <c r="BC69" s="11" t="s">
        <v>13</v>
      </c>
      <c r="BD69" s="11" t="s">
        <v>424</v>
      </c>
      <c r="BE69" s="11">
        <v>70840</v>
      </c>
      <c r="BF69" s="11" t="s">
        <v>400</v>
      </c>
      <c r="BG69" s="11">
        <v>67</v>
      </c>
      <c r="BH69" s="11">
        <v>473</v>
      </c>
      <c r="BI69" s="11">
        <v>152</v>
      </c>
      <c r="BJ69" s="11">
        <v>152</v>
      </c>
      <c r="BK69" s="11">
        <v>4</v>
      </c>
      <c r="BL69" s="11">
        <v>148</v>
      </c>
      <c r="BM69" s="11">
        <v>121</v>
      </c>
      <c r="BN69" s="11">
        <v>10</v>
      </c>
      <c r="BO69" s="11">
        <v>1</v>
      </c>
      <c r="BP69" s="11">
        <v>1</v>
      </c>
      <c r="BQ69" s="11">
        <v>3</v>
      </c>
      <c r="BR69" s="11">
        <v>0</v>
      </c>
      <c r="BS69" s="11">
        <v>10</v>
      </c>
      <c r="BT69" s="11">
        <v>1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1</v>
      </c>
      <c r="CE69">
        <f t="shared" si="4"/>
        <v>132</v>
      </c>
      <c r="CF69">
        <f t="shared" si="5"/>
        <v>4</v>
      </c>
      <c r="CG69">
        <f t="shared" si="6"/>
        <v>10</v>
      </c>
      <c r="CH69">
        <f t="shared" si="7"/>
        <v>0</v>
      </c>
      <c r="CI69">
        <v>2</v>
      </c>
      <c r="CJ69" s="11">
        <v>473</v>
      </c>
      <c r="CK69" s="14">
        <v>0.32135306553911203</v>
      </c>
      <c r="CL69" s="14">
        <v>0.86842105263157898</v>
      </c>
      <c r="CM69" s="14">
        <v>2.6315789473684209E-2</v>
      </c>
      <c r="CN69" s="14">
        <v>6.5789473684210523E-2</v>
      </c>
      <c r="CO69" s="14">
        <v>0</v>
      </c>
      <c r="CP69" s="14">
        <v>1.3157894736842105E-2</v>
      </c>
      <c r="CQ69" s="30">
        <v>5</v>
      </c>
      <c r="CR69" s="15">
        <v>106</v>
      </c>
      <c r="CS69">
        <v>11</v>
      </c>
      <c r="CT69">
        <v>15</v>
      </c>
      <c r="CV69">
        <v>2</v>
      </c>
      <c r="CW69" s="14">
        <v>0.29653679653679654</v>
      </c>
      <c r="CX69" s="14">
        <v>0.77372262773722633</v>
      </c>
      <c r="CY69" s="14">
        <v>8.0291970802919707E-2</v>
      </c>
      <c r="CZ69" s="14">
        <v>0.10948905109489052</v>
      </c>
      <c r="DA69" s="14">
        <v>0</v>
      </c>
      <c r="DB69" s="14">
        <v>1.4598540145985401E-2</v>
      </c>
      <c r="DC69" s="30">
        <v>5</v>
      </c>
      <c r="DD69" s="14" t="s">
        <v>474</v>
      </c>
      <c r="DE69" s="17" t="s">
        <v>437</v>
      </c>
      <c r="DF69" s="17" t="s">
        <v>437</v>
      </c>
      <c r="DG69" s="17" t="s">
        <v>453</v>
      </c>
      <c r="DH69" s="21">
        <v>145.78</v>
      </c>
      <c r="DI69" s="16">
        <v>473</v>
      </c>
      <c r="DJ69" s="16">
        <v>0</v>
      </c>
      <c r="DK69" s="16">
        <v>152</v>
      </c>
      <c r="DL69" s="23">
        <v>0.32135306553911203</v>
      </c>
      <c r="DM69" s="16">
        <v>1</v>
      </c>
      <c r="DN69">
        <v>5</v>
      </c>
      <c r="DO69" s="25"/>
      <c r="DP69" s="25"/>
      <c r="DQ69" s="25"/>
      <c r="DR69" s="26"/>
      <c r="DS69" s="26"/>
    </row>
    <row r="70" spans="1:123" ht="14.25" customHeight="1">
      <c r="A70" s="2">
        <v>4919</v>
      </c>
      <c r="B70" s="3" t="s">
        <v>42</v>
      </c>
      <c r="C70" s="3" t="s">
        <v>44</v>
      </c>
      <c r="D70" s="4">
        <v>68</v>
      </c>
      <c r="E70" s="3" t="s">
        <v>190</v>
      </c>
      <c r="F70" s="3" t="s">
        <v>187</v>
      </c>
      <c r="G70" s="4" t="s">
        <v>191</v>
      </c>
      <c r="H70" s="4" t="b">
        <v>1</v>
      </c>
      <c r="I70" s="4" t="b">
        <v>1</v>
      </c>
      <c r="J70" s="5" t="s">
        <v>191</v>
      </c>
      <c r="K70" s="5" t="s">
        <v>44</v>
      </c>
      <c r="L70" s="5" t="s">
        <v>190</v>
      </c>
      <c r="M70" s="5" t="s">
        <v>187</v>
      </c>
      <c r="N70" s="2" t="s">
        <v>13</v>
      </c>
      <c r="O70" s="2" t="s">
        <v>399</v>
      </c>
      <c r="P70" s="2">
        <v>70840</v>
      </c>
      <c r="Q70" s="2" t="s">
        <v>400</v>
      </c>
      <c r="R70" s="2">
        <v>445</v>
      </c>
      <c r="S70" s="2">
        <v>137</v>
      </c>
      <c r="T70" s="2">
        <v>137</v>
      </c>
      <c r="U70" s="2">
        <v>11</v>
      </c>
      <c r="V70" s="2">
        <v>126</v>
      </c>
      <c r="W70" s="2">
        <v>86</v>
      </c>
      <c r="X70" s="2">
        <v>22</v>
      </c>
      <c r="Y70" s="2">
        <v>0</v>
      </c>
      <c r="Z70" s="2">
        <v>1</v>
      </c>
      <c r="AA70" s="2">
        <v>5</v>
      </c>
      <c r="AB70" s="2">
        <v>5</v>
      </c>
      <c r="AC70" s="2">
        <v>3</v>
      </c>
      <c r="AD70" s="2">
        <v>2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445</v>
      </c>
      <c r="AQ70" s="2">
        <v>137</v>
      </c>
      <c r="AR70" s="2">
        <v>137</v>
      </c>
      <c r="AS70" s="2">
        <v>8</v>
      </c>
      <c r="AT70" s="2">
        <v>129</v>
      </c>
      <c r="AU70" s="2">
        <v>2</v>
      </c>
      <c r="AV70" s="2">
        <v>0</v>
      </c>
      <c r="AW70" s="2">
        <v>0</v>
      </c>
      <c r="AX70" s="2">
        <v>3</v>
      </c>
      <c r="AY70" s="2">
        <v>5</v>
      </c>
      <c r="AZ70" s="2">
        <v>112</v>
      </c>
      <c r="BA70" s="2">
        <v>1</v>
      </c>
      <c r="BB70" s="2">
        <v>6</v>
      </c>
      <c r="BC70" s="11" t="s">
        <v>13</v>
      </c>
      <c r="BD70" s="11" t="s">
        <v>424</v>
      </c>
      <c r="BE70" s="11">
        <v>70840</v>
      </c>
      <c r="BF70" s="11" t="s">
        <v>400</v>
      </c>
      <c r="BG70" s="11">
        <v>68</v>
      </c>
      <c r="BH70" s="11">
        <v>428</v>
      </c>
      <c r="BI70" s="11">
        <v>113</v>
      </c>
      <c r="BJ70" s="11">
        <v>113</v>
      </c>
      <c r="BK70" s="11">
        <v>0</v>
      </c>
      <c r="BL70" s="11">
        <v>113</v>
      </c>
      <c r="BM70" s="11">
        <v>99</v>
      </c>
      <c r="BN70" s="11">
        <v>3</v>
      </c>
      <c r="BO70" s="11">
        <v>0</v>
      </c>
      <c r="BP70" s="11">
        <v>0</v>
      </c>
      <c r="BQ70" s="11">
        <v>0</v>
      </c>
      <c r="BR70" s="11">
        <v>0</v>
      </c>
      <c r="BS70" s="11">
        <v>9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1</v>
      </c>
      <c r="CA70" s="11">
        <v>0</v>
      </c>
      <c r="CB70" s="11">
        <v>1</v>
      </c>
      <c r="CC70" s="11">
        <v>0</v>
      </c>
      <c r="CD70" s="11">
        <v>0</v>
      </c>
      <c r="CE70">
        <f t="shared" si="4"/>
        <v>102</v>
      </c>
      <c r="CF70">
        <f t="shared" si="5"/>
        <v>0</v>
      </c>
      <c r="CG70">
        <f t="shared" si="6"/>
        <v>9</v>
      </c>
      <c r="CH70">
        <f t="shared" si="7"/>
        <v>1</v>
      </c>
      <c r="CI70">
        <v>1</v>
      </c>
      <c r="CJ70" s="11">
        <v>428</v>
      </c>
      <c r="CK70" s="14">
        <v>0.26401869158878505</v>
      </c>
      <c r="CL70" s="14">
        <v>0.90265486725663713</v>
      </c>
      <c r="CM70" s="14">
        <v>0</v>
      </c>
      <c r="CN70" s="14">
        <v>7.9646017699115043E-2</v>
      </c>
      <c r="CO70" s="14">
        <v>8.8495575221238937E-3</v>
      </c>
      <c r="CP70" s="14">
        <v>8.8495575221238937E-3</v>
      </c>
      <c r="CQ70" s="30">
        <v>5</v>
      </c>
      <c r="CR70" s="15">
        <v>109</v>
      </c>
      <c r="CS70">
        <v>8</v>
      </c>
      <c r="CT70">
        <v>7</v>
      </c>
      <c r="CV70">
        <v>2</v>
      </c>
      <c r="CW70" s="14">
        <v>0.30786516853932583</v>
      </c>
      <c r="CX70" s="14">
        <v>0.79562043795620441</v>
      </c>
      <c r="CY70" s="14">
        <v>5.8394160583941604E-2</v>
      </c>
      <c r="CZ70" s="14">
        <v>5.1094890510948905E-2</v>
      </c>
      <c r="DA70" s="14">
        <v>0</v>
      </c>
      <c r="DB70" s="14">
        <v>1.4598540145985401E-2</v>
      </c>
      <c r="DC70" s="30">
        <v>5</v>
      </c>
      <c r="DD70" s="14" t="s">
        <v>474</v>
      </c>
      <c r="DE70" s="17" t="s">
        <v>437</v>
      </c>
      <c r="DF70" s="17" t="s">
        <v>437</v>
      </c>
      <c r="DG70" s="17" t="s">
        <v>453</v>
      </c>
      <c r="DH70" s="21">
        <v>138.33000000000001</v>
      </c>
      <c r="DI70" s="16">
        <v>428</v>
      </c>
      <c r="DJ70" s="16">
        <v>0</v>
      </c>
      <c r="DK70" s="16">
        <v>113</v>
      </c>
      <c r="DL70" s="23">
        <v>0.26401869158878505</v>
      </c>
      <c r="DM70" s="16">
        <v>1</v>
      </c>
      <c r="DN70">
        <v>5</v>
      </c>
      <c r="DO70" s="25"/>
      <c r="DP70" s="25"/>
      <c r="DQ70" s="25"/>
      <c r="DR70" s="26"/>
      <c r="DS70" s="26"/>
    </row>
    <row r="71" spans="1:123" ht="14.25" customHeight="1">
      <c r="A71" s="2">
        <v>4920</v>
      </c>
      <c r="B71" s="3" t="s">
        <v>42</v>
      </c>
      <c r="C71" s="3" t="s">
        <v>44</v>
      </c>
      <c r="D71" s="4">
        <v>69</v>
      </c>
      <c r="E71" s="3" t="s">
        <v>192</v>
      </c>
      <c r="F71" s="3" t="s">
        <v>193</v>
      </c>
      <c r="G71" s="4" t="s">
        <v>194</v>
      </c>
      <c r="H71" s="4" t="b">
        <v>1</v>
      </c>
      <c r="I71" s="4" t="b">
        <v>1</v>
      </c>
      <c r="J71" s="5" t="s">
        <v>194</v>
      </c>
      <c r="K71" s="5" t="s">
        <v>44</v>
      </c>
      <c r="L71" s="5" t="s">
        <v>192</v>
      </c>
      <c r="M71" s="5" t="s">
        <v>193</v>
      </c>
      <c r="N71" s="2" t="s">
        <v>13</v>
      </c>
      <c r="O71" s="2" t="s">
        <v>399</v>
      </c>
      <c r="P71" s="2">
        <v>70840</v>
      </c>
      <c r="Q71" s="2" t="s">
        <v>400</v>
      </c>
      <c r="R71" s="2">
        <v>159</v>
      </c>
      <c r="S71" s="2">
        <v>72</v>
      </c>
      <c r="T71" s="2">
        <v>72</v>
      </c>
      <c r="U71" s="2">
        <v>2</v>
      </c>
      <c r="V71" s="2">
        <v>70</v>
      </c>
      <c r="W71" s="2">
        <v>38</v>
      </c>
      <c r="X71" s="2">
        <v>12</v>
      </c>
      <c r="Y71" s="2">
        <v>0</v>
      </c>
      <c r="Z71" s="2">
        <v>0</v>
      </c>
      <c r="AA71" s="2">
        <v>8</v>
      </c>
      <c r="AB71" s="2">
        <v>3</v>
      </c>
      <c r="AC71" s="2">
        <v>1</v>
      </c>
      <c r="AD71" s="2">
        <v>0</v>
      </c>
      <c r="AE71" s="2">
        <v>0</v>
      </c>
      <c r="AF71" s="2">
        <v>1</v>
      </c>
      <c r="AG71" s="2">
        <v>5</v>
      </c>
      <c r="AH71" s="2">
        <v>0</v>
      </c>
      <c r="AI71" s="2">
        <v>0</v>
      </c>
      <c r="AJ71" s="2">
        <v>2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159</v>
      </c>
      <c r="AQ71" s="2">
        <v>72</v>
      </c>
      <c r="AR71" s="2">
        <v>72</v>
      </c>
      <c r="AS71" s="2">
        <v>3</v>
      </c>
      <c r="AT71" s="2">
        <v>69</v>
      </c>
      <c r="AU71" s="2">
        <v>0</v>
      </c>
      <c r="AV71" s="2">
        <v>0</v>
      </c>
      <c r="AW71" s="2">
        <v>6</v>
      </c>
      <c r="AX71" s="2">
        <v>8</v>
      </c>
      <c r="AY71" s="2">
        <v>3</v>
      </c>
      <c r="AZ71" s="2">
        <v>47</v>
      </c>
      <c r="BA71" s="2">
        <v>4</v>
      </c>
      <c r="BB71" s="2">
        <v>1</v>
      </c>
      <c r="BC71" s="11" t="s">
        <v>13</v>
      </c>
      <c r="BD71" s="11" t="s">
        <v>424</v>
      </c>
      <c r="BE71" s="11">
        <v>70840</v>
      </c>
      <c r="BF71" s="11" t="s">
        <v>400</v>
      </c>
      <c r="BG71" s="11">
        <v>69</v>
      </c>
      <c r="BH71" s="11">
        <v>158</v>
      </c>
      <c r="BI71" s="11">
        <v>54</v>
      </c>
      <c r="BJ71" s="11">
        <v>54</v>
      </c>
      <c r="BK71" s="11">
        <v>0</v>
      </c>
      <c r="BL71" s="11">
        <v>54</v>
      </c>
      <c r="BM71" s="11">
        <v>35</v>
      </c>
      <c r="BN71" s="11">
        <v>6</v>
      </c>
      <c r="BO71" s="11">
        <v>0</v>
      </c>
      <c r="BP71" s="11">
        <v>4</v>
      </c>
      <c r="BQ71" s="11">
        <v>2</v>
      </c>
      <c r="BR71" s="11">
        <v>0</v>
      </c>
      <c r="BS71" s="11">
        <v>4</v>
      </c>
      <c r="BT71" s="11">
        <v>0</v>
      </c>
      <c r="BU71" s="11">
        <v>0</v>
      </c>
      <c r="BV71" s="11">
        <v>0</v>
      </c>
      <c r="BW71" s="11">
        <v>0</v>
      </c>
      <c r="BX71" s="11">
        <v>1</v>
      </c>
      <c r="BY71" s="11">
        <v>0</v>
      </c>
      <c r="BZ71" s="11">
        <v>2</v>
      </c>
      <c r="CA71" s="11">
        <v>0</v>
      </c>
      <c r="CB71" s="11">
        <v>0</v>
      </c>
      <c r="CC71" s="11">
        <v>0</v>
      </c>
      <c r="CD71" s="11">
        <v>0</v>
      </c>
      <c r="CE71">
        <f t="shared" si="4"/>
        <v>41</v>
      </c>
      <c r="CF71">
        <f t="shared" si="5"/>
        <v>6</v>
      </c>
      <c r="CG71">
        <f t="shared" si="6"/>
        <v>5</v>
      </c>
      <c r="CH71">
        <f t="shared" si="7"/>
        <v>2</v>
      </c>
      <c r="CI71">
        <v>0</v>
      </c>
      <c r="CJ71" s="11">
        <v>158</v>
      </c>
      <c r="CK71" s="14">
        <v>0.34177215189873417</v>
      </c>
      <c r="CL71" s="14">
        <v>0.7592592592592593</v>
      </c>
      <c r="CM71" s="14">
        <v>0.1111111111111111</v>
      </c>
      <c r="CN71" s="14">
        <v>9.2592592592592587E-2</v>
      </c>
      <c r="CO71" s="14">
        <v>3.7037037037037035E-2</v>
      </c>
      <c r="CP71" s="14">
        <v>0</v>
      </c>
      <c r="CQ71" s="30">
        <v>5</v>
      </c>
      <c r="CR71" s="15">
        <v>50</v>
      </c>
      <c r="CS71">
        <v>10</v>
      </c>
      <c r="CT71">
        <v>10</v>
      </c>
      <c r="CV71">
        <v>0</v>
      </c>
      <c r="CW71" s="14">
        <v>0.45283018867924529</v>
      </c>
      <c r="CX71" s="14">
        <v>0.69444444444444442</v>
      </c>
      <c r="CY71" s="14">
        <v>0.1388888888888889</v>
      </c>
      <c r="CZ71" s="14">
        <v>0.1388888888888889</v>
      </c>
      <c r="DA71" s="14">
        <v>0</v>
      </c>
      <c r="DB71" s="14">
        <v>0</v>
      </c>
      <c r="DC71" s="30">
        <v>5</v>
      </c>
      <c r="DD71" s="14" t="s">
        <v>474</v>
      </c>
      <c r="DE71" s="17" t="s">
        <v>437</v>
      </c>
      <c r="DF71" s="17" t="s">
        <v>437</v>
      </c>
      <c r="DG71" s="17" t="s">
        <v>453</v>
      </c>
      <c r="DH71" s="21">
        <v>52.93</v>
      </c>
      <c r="DI71" s="16">
        <v>158</v>
      </c>
      <c r="DJ71" s="16">
        <v>0</v>
      </c>
      <c r="DK71" s="16">
        <v>54</v>
      </c>
      <c r="DL71" s="23">
        <v>0.34177215189873417</v>
      </c>
      <c r="DM71" s="16">
        <v>1</v>
      </c>
      <c r="DN71">
        <v>5</v>
      </c>
      <c r="DO71" s="25"/>
      <c r="DP71" s="25"/>
      <c r="DQ71" s="25"/>
      <c r="DR71" s="26"/>
      <c r="DS71" s="26"/>
    </row>
    <row r="72" spans="1:123" ht="14.25" customHeight="1">
      <c r="A72" s="2">
        <v>4921</v>
      </c>
      <c r="B72" s="3" t="s">
        <v>42</v>
      </c>
      <c r="C72" s="3" t="s">
        <v>44</v>
      </c>
      <c r="D72" s="4">
        <v>70</v>
      </c>
      <c r="E72" s="3" t="s">
        <v>12</v>
      </c>
      <c r="F72" s="3" t="s">
        <v>195</v>
      </c>
      <c r="G72" s="4" t="s">
        <v>196</v>
      </c>
      <c r="H72" s="4" t="b">
        <v>1</v>
      </c>
      <c r="I72" s="4" t="b">
        <v>1</v>
      </c>
      <c r="J72" s="5" t="s">
        <v>196</v>
      </c>
      <c r="K72" s="5" t="s">
        <v>44</v>
      </c>
      <c r="L72" s="5" t="s">
        <v>12</v>
      </c>
      <c r="M72" s="5" t="s">
        <v>195</v>
      </c>
      <c r="N72" s="2" t="s">
        <v>13</v>
      </c>
      <c r="O72" s="2" t="s">
        <v>399</v>
      </c>
      <c r="P72" s="2">
        <v>70840</v>
      </c>
      <c r="Q72" s="2" t="s">
        <v>400</v>
      </c>
      <c r="R72" s="2">
        <v>324</v>
      </c>
      <c r="S72" s="2">
        <v>199</v>
      </c>
      <c r="T72" s="2">
        <v>198</v>
      </c>
      <c r="U72" s="2">
        <v>5</v>
      </c>
      <c r="V72" s="2">
        <v>193</v>
      </c>
      <c r="W72" s="2">
        <v>115</v>
      </c>
      <c r="X72" s="2">
        <v>30</v>
      </c>
      <c r="Y72" s="2">
        <v>0</v>
      </c>
      <c r="Z72" s="2">
        <v>4</v>
      </c>
      <c r="AA72" s="2">
        <v>9</v>
      </c>
      <c r="AB72" s="2">
        <v>6</v>
      </c>
      <c r="AC72" s="2">
        <v>2</v>
      </c>
      <c r="AD72" s="2">
        <v>0</v>
      </c>
      <c r="AE72" s="2">
        <v>4</v>
      </c>
      <c r="AF72" s="2">
        <v>6</v>
      </c>
      <c r="AG72" s="2">
        <v>10</v>
      </c>
      <c r="AH72" s="2">
        <v>0</v>
      </c>
      <c r="AI72" s="2">
        <v>0</v>
      </c>
      <c r="AJ72" s="2">
        <v>5</v>
      </c>
      <c r="AK72" s="2">
        <v>0</v>
      </c>
      <c r="AL72" s="2">
        <v>0</v>
      </c>
      <c r="AM72" s="2">
        <v>2</v>
      </c>
      <c r="AN72" s="2">
        <v>0</v>
      </c>
      <c r="AO72" s="2">
        <v>0</v>
      </c>
      <c r="AP72" s="2">
        <v>324</v>
      </c>
      <c r="AQ72" s="2">
        <v>199</v>
      </c>
      <c r="AR72" s="2">
        <v>199</v>
      </c>
      <c r="AS72" s="2">
        <v>4</v>
      </c>
      <c r="AT72" s="2">
        <v>195</v>
      </c>
      <c r="AU72" s="2">
        <v>4</v>
      </c>
      <c r="AV72" s="2">
        <v>6</v>
      </c>
      <c r="AW72" s="2">
        <v>4</v>
      </c>
      <c r="AX72" s="2">
        <v>11</v>
      </c>
      <c r="AY72" s="2">
        <v>7</v>
      </c>
      <c r="AZ72" s="2">
        <v>144</v>
      </c>
      <c r="BA72" s="2">
        <v>8</v>
      </c>
      <c r="BB72" s="2">
        <v>11</v>
      </c>
      <c r="BC72" s="11" t="s">
        <v>13</v>
      </c>
      <c r="BD72" s="11" t="s">
        <v>424</v>
      </c>
      <c r="BE72" s="11">
        <v>70840</v>
      </c>
      <c r="BF72" s="11" t="s">
        <v>400</v>
      </c>
      <c r="BG72" s="11">
        <v>70</v>
      </c>
      <c r="BH72" s="11">
        <v>316</v>
      </c>
      <c r="BI72" s="11">
        <v>181</v>
      </c>
      <c r="BJ72" s="11">
        <v>181</v>
      </c>
      <c r="BK72" s="11">
        <v>6</v>
      </c>
      <c r="BL72" s="11">
        <v>175</v>
      </c>
      <c r="BM72" s="11">
        <v>112</v>
      </c>
      <c r="BN72" s="11">
        <v>19</v>
      </c>
      <c r="BO72" s="11">
        <v>3</v>
      </c>
      <c r="BP72" s="11">
        <v>3</v>
      </c>
      <c r="BQ72" s="11">
        <v>5</v>
      </c>
      <c r="BR72" s="11">
        <v>0</v>
      </c>
      <c r="BS72" s="11">
        <v>30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3</v>
      </c>
      <c r="CA72" s="11">
        <v>0</v>
      </c>
      <c r="CB72" s="11">
        <v>0</v>
      </c>
      <c r="CC72" s="11">
        <v>0</v>
      </c>
      <c r="CD72" s="11">
        <v>0</v>
      </c>
      <c r="CE72">
        <f t="shared" si="4"/>
        <v>134</v>
      </c>
      <c r="CF72">
        <f t="shared" si="5"/>
        <v>8</v>
      </c>
      <c r="CG72">
        <f t="shared" si="6"/>
        <v>30</v>
      </c>
      <c r="CH72">
        <f t="shared" si="7"/>
        <v>3</v>
      </c>
      <c r="CI72">
        <v>0</v>
      </c>
      <c r="CJ72" s="11">
        <v>316</v>
      </c>
      <c r="CK72" s="14">
        <v>0.57278481012658233</v>
      </c>
      <c r="CL72" s="14">
        <v>0.74033149171270718</v>
      </c>
      <c r="CM72" s="14">
        <v>4.4198895027624308E-2</v>
      </c>
      <c r="CN72" s="14">
        <v>0.16574585635359115</v>
      </c>
      <c r="CO72" s="14">
        <v>1.6574585635359115E-2</v>
      </c>
      <c r="CP72" s="14">
        <v>0</v>
      </c>
      <c r="CQ72" s="30">
        <v>8</v>
      </c>
      <c r="CR72" s="15">
        <v>149</v>
      </c>
      <c r="CS72">
        <v>24</v>
      </c>
      <c r="CT72">
        <v>20</v>
      </c>
      <c r="CV72">
        <v>0</v>
      </c>
      <c r="CW72" s="14">
        <v>0.61419753086419748</v>
      </c>
      <c r="CX72" s="14">
        <v>0.74874371859296485</v>
      </c>
      <c r="CY72" s="14">
        <v>0.12060301507537688</v>
      </c>
      <c r="CZ72" s="14">
        <v>0.10050251256281408</v>
      </c>
      <c r="DA72" s="14">
        <v>0</v>
      </c>
      <c r="DB72" s="14">
        <v>0</v>
      </c>
      <c r="DC72" s="30">
        <v>8</v>
      </c>
      <c r="DD72" s="14" t="s">
        <v>488</v>
      </c>
      <c r="DE72" s="17" t="s">
        <v>439</v>
      </c>
      <c r="DF72" s="17" t="s">
        <v>439</v>
      </c>
      <c r="DG72" s="17" t="s">
        <v>442</v>
      </c>
      <c r="DH72" s="21">
        <v>95.3</v>
      </c>
      <c r="DI72" s="16">
        <v>316</v>
      </c>
      <c r="DJ72" s="16">
        <v>0</v>
      </c>
      <c r="DK72" s="16">
        <v>181</v>
      </c>
      <c r="DL72" s="23">
        <v>0.57278481012658233</v>
      </c>
      <c r="DM72" s="16">
        <v>0</v>
      </c>
      <c r="DN72">
        <v>0</v>
      </c>
      <c r="DO72" s="25"/>
      <c r="DP72" s="25"/>
      <c r="DQ72" s="25"/>
      <c r="DR72" s="26"/>
      <c r="DS72" s="26"/>
    </row>
    <row r="73" spans="1:123" ht="14.25" customHeight="1">
      <c r="A73" s="2">
        <v>4922</v>
      </c>
      <c r="B73" s="3" t="s">
        <v>42</v>
      </c>
      <c r="C73" s="3" t="s">
        <v>44</v>
      </c>
      <c r="D73" s="4">
        <v>71</v>
      </c>
      <c r="E73" s="3" t="s">
        <v>27</v>
      </c>
      <c r="F73" s="3" t="s">
        <v>198</v>
      </c>
      <c r="G73" s="4" t="s">
        <v>199</v>
      </c>
      <c r="H73" s="4" t="b">
        <v>1</v>
      </c>
      <c r="I73" s="4" t="b">
        <v>1</v>
      </c>
      <c r="J73" s="5" t="s">
        <v>199</v>
      </c>
      <c r="K73" s="5" t="s">
        <v>44</v>
      </c>
      <c r="L73" s="5" t="s">
        <v>27</v>
      </c>
      <c r="M73" s="5" t="s">
        <v>198</v>
      </c>
      <c r="N73" s="2" t="s">
        <v>13</v>
      </c>
      <c r="O73" s="2" t="s">
        <v>399</v>
      </c>
      <c r="P73" s="2">
        <v>70840</v>
      </c>
      <c r="Q73" s="2" t="s">
        <v>400</v>
      </c>
      <c r="R73" s="2">
        <v>215</v>
      </c>
      <c r="S73" s="2">
        <v>145</v>
      </c>
      <c r="T73" s="2">
        <v>145</v>
      </c>
      <c r="U73" s="2">
        <v>3</v>
      </c>
      <c r="V73" s="2">
        <v>142</v>
      </c>
      <c r="W73" s="2">
        <v>91</v>
      </c>
      <c r="X73" s="2">
        <v>25</v>
      </c>
      <c r="Y73" s="2">
        <v>0</v>
      </c>
      <c r="Z73" s="2">
        <v>3</v>
      </c>
      <c r="AA73" s="2">
        <v>7</v>
      </c>
      <c r="AB73" s="2">
        <v>5</v>
      </c>
      <c r="AC73" s="2">
        <v>5</v>
      </c>
      <c r="AD73" s="2">
        <v>0</v>
      </c>
      <c r="AE73" s="2">
        <v>3</v>
      </c>
      <c r="AF73" s="2">
        <v>0</v>
      </c>
      <c r="AG73" s="2">
        <v>1</v>
      </c>
      <c r="AH73" s="2">
        <v>1</v>
      </c>
      <c r="AI73" s="2">
        <v>0</v>
      </c>
      <c r="AJ73" s="2">
        <v>1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215</v>
      </c>
      <c r="AQ73" s="2">
        <v>145</v>
      </c>
      <c r="AR73" s="2">
        <v>145</v>
      </c>
      <c r="AS73" s="2">
        <v>1</v>
      </c>
      <c r="AT73" s="2">
        <v>144</v>
      </c>
      <c r="AU73" s="2">
        <v>2</v>
      </c>
      <c r="AV73" s="2">
        <v>0</v>
      </c>
      <c r="AW73" s="2">
        <v>0</v>
      </c>
      <c r="AX73" s="2">
        <v>8</v>
      </c>
      <c r="AY73" s="2">
        <v>6</v>
      </c>
      <c r="AZ73" s="2">
        <v>124</v>
      </c>
      <c r="BA73" s="2">
        <v>2</v>
      </c>
      <c r="BB73" s="2">
        <v>2</v>
      </c>
      <c r="BC73" s="11" t="s">
        <v>13</v>
      </c>
      <c r="BD73" s="11" t="s">
        <v>424</v>
      </c>
      <c r="BE73" s="11">
        <v>70840</v>
      </c>
      <c r="BF73" s="11" t="s">
        <v>400</v>
      </c>
      <c r="BG73" s="11">
        <v>71</v>
      </c>
      <c r="BH73" s="11">
        <v>205</v>
      </c>
      <c r="BI73" s="11">
        <v>137</v>
      </c>
      <c r="BJ73" s="11">
        <v>137</v>
      </c>
      <c r="BK73" s="11">
        <v>4</v>
      </c>
      <c r="BL73" s="11">
        <v>133</v>
      </c>
      <c r="BM73" s="11">
        <v>98</v>
      </c>
      <c r="BN73" s="11">
        <v>12</v>
      </c>
      <c r="BO73" s="11">
        <v>3</v>
      </c>
      <c r="BP73" s="11">
        <v>3</v>
      </c>
      <c r="BQ73" s="11">
        <v>2</v>
      </c>
      <c r="BR73" s="11">
        <v>0</v>
      </c>
      <c r="BS73" s="11">
        <v>12</v>
      </c>
      <c r="BT73" s="11">
        <v>0</v>
      </c>
      <c r="BU73" s="11">
        <v>0</v>
      </c>
      <c r="BV73" s="11">
        <v>0</v>
      </c>
      <c r="BW73" s="11">
        <v>2</v>
      </c>
      <c r="BX73" s="11">
        <v>0</v>
      </c>
      <c r="BY73" s="11">
        <v>0</v>
      </c>
      <c r="BZ73" s="11">
        <v>1</v>
      </c>
      <c r="CA73" s="11">
        <v>0</v>
      </c>
      <c r="CB73" s="11">
        <v>0</v>
      </c>
      <c r="CC73" s="11">
        <v>0</v>
      </c>
      <c r="CD73" s="11">
        <v>0</v>
      </c>
      <c r="CE73">
        <f t="shared" si="4"/>
        <v>113</v>
      </c>
      <c r="CF73">
        <f t="shared" si="5"/>
        <v>5</v>
      </c>
      <c r="CG73">
        <f t="shared" si="6"/>
        <v>14</v>
      </c>
      <c r="CH73">
        <f t="shared" si="7"/>
        <v>1</v>
      </c>
      <c r="CI73">
        <v>0</v>
      </c>
      <c r="CJ73" s="11">
        <v>205</v>
      </c>
      <c r="CK73" s="14">
        <v>0.66829268292682931</v>
      </c>
      <c r="CL73" s="14">
        <v>0.82481751824817517</v>
      </c>
      <c r="CM73" s="14">
        <v>5.1094890510948905E-2</v>
      </c>
      <c r="CN73" s="14">
        <v>8.7591240875912413E-2</v>
      </c>
      <c r="CO73" s="14">
        <v>7.2992700729927005E-3</v>
      </c>
      <c r="CP73" s="14">
        <v>0</v>
      </c>
      <c r="CQ73" s="30">
        <v>8</v>
      </c>
      <c r="CR73" s="15">
        <v>119</v>
      </c>
      <c r="CS73">
        <v>11</v>
      </c>
      <c r="CT73">
        <v>12</v>
      </c>
      <c r="CV73">
        <v>0</v>
      </c>
      <c r="CW73" s="14">
        <v>0.67441860465116277</v>
      </c>
      <c r="CX73" s="14">
        <v>0.82068965517241377</v>
      </c>
      <c r="CY73" s="14">
        <v>7.586206896551724E-2</v>
      </c>
      <c r="CZ73" s="14">
        <v>8.2758620689655171E-2</v>
      </c>
      <c r="DA73" s="14">
        <v>0</v>
      </c>
      <c r="DB73" s="14">
        <v>0</v>
      </c>
      <c r="DC73" s="30">
        <v>8</v>
      </c>
      <c r="DD73" s="14" t="s">
        <v>488</v>
      </c>
      <c r="DE73" s="17" t="s">
        <v>439</v>
      </c>
      <c r="DF73" s="17" t="s">
        <v>439</v>
      </c>
      <c r="DG73" s="17" t="s">
        <v>442</v>
      </c>
      <c r="DH73" s="21">
        <v>48.800000000000004</v>
      </c>
      <c r="DI73" s="16">
        <v>205</v>
      </c>
      <c r="DJ73" s="16">
        <v>0</v>
      </c>
      <c r="DK73" s="16">
        <v>137</v>
      </c>
      <c r="DL73" s="23">
        <v>0.66829268292682931</v>
      </c>
      <c r="DM73" s="16">
        <v>0</v>
      </c>
      <c r="DN73">
        <v>0</v>
      </c>
      <c r="DO73" s="25"/>
      <c r="DP73" s="25"/>
      <c r="DQ73" s="25"/>
      <c r="DR73" s="26"/>
      <c r="DS73" s="26"/>
    </row>
    <row r="74" spans="1:123" ht="14.25" customHeight="1">
      <c r="A74" s="2">
        <v>4923</v>
      </c>
      <c r="B74" s="3" t="s">
        <v>42</v>
      </c>
      <c r="C74" s="3" t="s">
        <v>44</v>
      </c>
      <c r="D74" s="4">
        <v>72</v>
      </c>
      <c r="E74" s="3" t="s">
        <v>28</v>
      </c>
      <c r="F74" s="3" t="s">
        <v>200</v>
      </c>
      <c r="G74" s="4" t="s">
        <v>201</v>
      </c>
      <c r="H74" s="4" t="b">
        <v>1</v>
      </c>
      <c r="I74" s="4" t="b">
        <v>1</v>
      </c>
      <c r="J74" s="5" t="s">
        <v>201</v>
      </c>
      <c r="K74" s="5" t="s">
        <v>44</v>
      </c>
      <c r="L74" s="5" t="s">
        <v>28</v>
      </c>
      <c r="M74" s="5" t="s">
        <v>200</v>
      </c>
      <c r="N74" s="2" t="s">
        <v>13</v>
      </c>
      <c r="O74" s="2" t="s">
        <v>399</v>
      </c>
      <c r="P74" s="2">
        <v>70840</v>
      </c>
      <c r="Q74" s="2" t="s">
        <v>400</v>
      </c>
      <c r="R74" s="2">
        <v>643</v>
      </c>
      <c r="S74" s="2">
        <v>304</v>
      </c>
      <c r="T74" s="2">
        <v>304</v>
      </c>
      <c r="U74" s="2">
        <v>3</v>
      </c>
      <c r="V74" s="2">
        <v>301</v>
      </c>
      <c r="W74" s="2">
        <v>183</v>
      </c>
      <c r="X74" s="2">
        <v>62</v>
      </c>
      <c r="Y74" s="2">
        <v>1</v>
      </c>
      <c r="Z74" s="2">
        <v>6</v>
      </c>
      <c r="AA74" s="2">
        <v>18</v>
      </c>
      <c r="AB74" s="2">
        <v>7</v>
      </c>
      <c r="AC74" s="2">
        <v>6</v>
      </c>
      <c r="AD74" s="2">
        <v>1</v>
      </c>
      <c r="AE74" s="2">
        <v>0</v>
      </c>
      <c r="AF74" s="2">
        <v>1</v>
      </c>
      <c r="AG74" s="2">
        <v>11</v>
      </c>
      <c r="AH74" s="2">
        <v>0</v>
      </c>
      <c r="AI74" s="2">
        <v>0</v>
      </c>
      <c r="AJ74" s="2">
        <v>2</v>
      </c>
      <c r="AK74" s="2">
        <v>0</v>
      </c>
      <c r="AL74" s="2">
        <v>0</v>
      </c>
      <c r="AM74" s="2">
        <v>0</v>
      </c>
      <c r="AN74" s="2">
        <v>2</v>
      </c>
      <c r="AO74" s="2">
        <v>1</v>
      </c>
      <c r="AP74" s="2">
        <v>643</v>
      </c>
      <c r="AQ74" s="2">
        <v>304</v>
      </c>
      <c r="AR74" s="2">
        <v>304</v>
      </c>
      <c r="AS74" s="2">
        <v>3</v>
      </c>
      <c r="AT74" s="2">
        <v>301</v>
      </c>
      <c r="AU74" s="2">
        <v>2</v>
      </c>
      <c r="AV74" s="2">
        <v>1</v>
      </c>
      <c r="AW74" s="2">
        <v>1</v>
      </c>
      <c r="AX74" s="2">
        <v>20</v>
      </c>
      <c r="AY74" s="2">
        <v>8</v>
      </c>
      <c r="AZ74" s="2">
        <v>244</v>
      </c>
      <c r="BA74" s="2">
        <v>9</v>
      </c>
      <c r="BB74" s="2">
        <v>16</v>
      </c>
      <c r="BC74" s="11" t="s">
        <v>13</v>
      </c>
      <c r="BD74" s="11" t="s">
        <v>424</v>
      </c>
      <c r="BE74" s="11">
        <v>70840</v>
      </c>
      <c r="BF74" s="11" t="s">
        <v>400</v>
      </c>
      <c r="BG74" s="11">
        <v>72</v>
      </c>
      <c r="BH74" s="11">
        <v>633</v>
      </c>
      <c r="BI74" s="11">
        <v>297</v>
      </c>
      <c r="BJ74" s="11">
        <v>297</v>
      </c>
      <c r="BK74" s="11">
        <v>7</v>
      </c>
      <c r="BL74" s="11">
        <v>290</v>
      </c>
      <c r="BM74" s="11">
        <v>185</v>
      </c>
      <c r="BN74" s="11">
        <v>38</v>
      </c>
      <c r="BO74" s="11">
        <v>6</v>
      </c>
      <c r="BP74" s="11">
        <v>16</v>
      </c>
      <c r="BQ74" s="11">
        <v>7</v>
      </c>
      <c r="BR74" s="11">
        <v>0</v>
      </c>
      <c r="BS74" s="11">
        <v>28</v>
      </c>
      <c r="BT74" s="11">
        <v>1</v>
      </c>
      <c r="BU74" s="11">
        <v>0</v>
      </c>
      <c r="BV74" s="11">
        <v>0</v>
      </c>
      <c r="BW74" s="11">
        <v>0</v>
      </c>
      <c r="BX74" s="11">
        <v>2</v>
      </c>
      <c r="BY74" s="11">
        <v>0</v>
      </c>
      <c r="BZ74" s="11">
        <v>5</v>
      </c>
      <c r="CA74" s="11">
        <v>0</v>
      </c>
      <c r="CB74" s="11">
        <v>2</v>
      </c>
      <c r="CC74" s="11">
        <v>0</v>
      </c>
      <c r="CD74" s="11">
        <v>0</v>
      </c>
      <c r="CE74">
        <f t="shared" si="4"/>
        <v>229</v>
      </c>
      <c r="CF74">
        <f t="shared" si="5"/>
        <v>23</v>
      </c>
      <c r="CG74">
        <f t="shared" si="6"/>
        <v>30</v>
      </c>
      <c r="CH74">
        <f t="shared" si="7"/>
        <v>5</v>
      </c>
      <c r="CI74">
        <v>3</v>
      </c>
      <c r="CJ74" s="11">
        <v>633</v>
      </c>
      <c r="CK74" s="14">
        <v>0.46919431279620855</v>
      </c>
      <c r="CL74" s="14">
        <v>0.77104377104377109</v>
      </c>
      <c r="CM74" s="14">
        <v>7.7441077441077436E-2</v>
      </c>
      <c r="CN74" s="14">
        <v>0.10101010101010101</v>
      </c>
      <c r="CO74" s="14">
        <v>1.6835016835016835E-2</v>
      </c>
      <c r="CP74" s="14">
        <v>1.0101010101010102E-2</v>
      </c>
      <c r="CQ74" s="30">
        <v>5</v>
      </c>
      <c r="CR74" s="15">
        <v>251</v>
      </c>
      <c r="CS74">
        <v>25</v>
      </c>
      <c r="CT74">
        <v>20</v>
      </c>
      <c r="CV74">
        <v>5</v>
      </c>
      <c r="CW74" s="14">
        <v>0.4727838258164852</v>
      </c>
      <c r="CX74" s="14">
        <v>0.82565789473684215</v>
      </c>
      <c r="CY74" s="14">
        <v>8.2236842105263164E-2</v>
      </c>
      <c r="CZ74" s="14">
        <v>6.5789473684210523E-2</v>
      </c>
      <c r="DA74" s="14">
        <v>0</v>
      </c>
      <c r="DB74" s="14">
        <v>1.6447368421052631E-2</v>
      </c>
      <c r="DC74" s="30">
        <v>5</v>
      </c>
      <c r="DD74" s="14" t="s">
        <v>474</v>
      </c>
      <c r="DE74" s="17" t="s">
        <v>437</v>
      </c>
      <c r="DF74" s="17" t="s">
        <v>437</v>
      </c>
      <c r="DG74" s="17" t="s">
        <v>453</v>
      </c>
      <c r="DH74" s="21">
        <v>190.32000000000002</v>
      </c>
      <c r="DI74" s="16">
        <v>633</v>
      </c>
      <c r="DJ74" s="16">
        <v>0</v>
      </c>
      <c r="DK74" s="16">
        <v>297</v>
      </c>
      <c r="DL74" s="23">
        <v>0.46919431279620855</v>
      </c>
      <c r="DM74" s="16">
        <v>1</v>
      </c>
      <c r="DN74">
        <v>5</v>
      </c>
      <c r="DO74" s="25"/>
      <c r="DP74" s="25"/>
      <c r="DQ74" s="25"/>
      <c r="DR74" s="26"/>
      <c r="DS74" s="26"/>
    </row>
    <row r="76" spans="1:123">
      <c r="CE76">
        <f>SUM(CE3:CE74)</f>
        <v>12011</v>
      </c>
      <c r="CF76">
        <f t="shared" ref="CF76:CI76" si="8">SUM(CF3:CF74)</f>
        <v>755</v>
      </c>
      <c r="CG76">
        <f t="shared" si="8"/>
        <v>2667</v>
      </c>
      <c r="CH76">
        <f t="shared" si="8"/>
        <v>427</v>
      </c>
      <c r="CI76">
        <f t="shared" si="8"/>
        <v>110</v>
      </c>
      <c r="CR76">
        <f>SUM(CR3:CR74)</f>
        <v>12441</v>
      </c>
      <c r="CS76">
        <f t="shared" ref="CS76:CV76" si="9">SUM(CS3:CS74)</f>
        <v>1629</v>
      </c>
      <c r="CT76">
        <f t="shared" si="9"/>
        <v>2144</v>
      </c>
      <c r="CU76">
        <f t="shared" si="9"/>
        <v>0</v>
      </c>
      <c r="CV76">
        <f t="shared" si="9"/>
        <v>98</v>
      </c>
    </row>
  </sheetData>
  <mergeCells count="5">
    <mergeCell ref="B1:I1"/>
    <mergeCell ref="J1:M1"/>
    <mergeCell ref="R1:AO1"/>
    <mergeCell ref="AP1:BB1"/>
    <mergeCell ref="BC1:CD1"/>
  </mergeCells>
  <conditionalFormatting sqref="H2:I74">
    <cfRule type="containsText" dxfId="6" priority="7" operator="containsText" text="&quot;FALSE&quot;">
      <formula>NOT(ISERROR(SEARCH(("""FALSE"""),(H2))))</formula>
    </cfRule>
  </conditionalFormatting>
  <conditionalFormatting sqref="DG1:DG74">
    <cfRule type="cellIs" dxfId="5" priority="1" operator="equal">
      <formula>"Bilo je SPN ubija otišlo na SPN ubija"</formula>
    </cfRule>
    <cfRule type="containsText" dxfId="4" priority="2" operator="containsText" text="otišlo na SPN ubija">
      <formula>NOT(ISERROR(SEARCH("otišlo na SPN ubija",DG1)))</formula>
    </cfRule>
    <cfRule type="containsText" dxfId="3" priority="3" operator="containsText" text="otišlo na SPN donekle ubija">
      <formula>NOT(ISERROR(SEARCH("otišlo na SPN donekle ubija",DG1)))</formula>
    </cfRule>
    <cfRule type="containsText" dxfId="2" priority="4" operator="containsText" text="otišlo na Desnicari jaki">
      <formula>NOT(ISERROR(SEARCH("otišlo na Desnicari jaki",DG1)))</formula>
    </cfRule>
    <cfRule type="containsText" dxfId="1" priority="5" operator="containsText" text="otišlo na Duboka apstinencija">
      <formula>NOT(ISERROR(SEARCH("otišlo na Duboka apstinencija",DG1)))</formula>
    </cfRule>
    <cfRule type="containsText" dxfId="0" priority="6" operator="containsText" text="otišlo na Plitka apstinencija">
      <formula>NOT(ISERROR(SEARCH("otišlo na Plitka apstinencija",DG1)))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C660-56A6-40A8-B8C2-A663FAD6408A}">
  <dimension ref="A1:AA77"/>
  <sheetViews>
    <sheetView tabSelected="1" topLeftCell="G1" workbookViewId="0">
      <selection activeCell="Z18" sqref="Z18"/>
    </sheetView>
  </sheetViews>
  <sheetFormatPr defaultColWidth="8.84375" defaultRowHeight="14.6"/>
  <cols>
    <col min="1" max="1" width="18.69140625" style="19" customWidth="1"/>
    <col min="2" max="7" width="8.84375" style="19"/>
    <col min="8" max="9" width="17.69140625" style="19" customWidth="1"/>
    <col min="10" max="13" width="0" style="19" hidden="1" customWidth="1"/>
    <col min="14" max="15" width="8.84375" style="19"/>
    <col min="16" max="19" width="0" style="19" hidden="1" customWidth="1"/>
    <col min="20" max="20" width="26.69140625" style="19" customWidth="1"/>
    <col min="21" max="21" width="17.84375" style="19" customWidth="1"/>
    <col min="22" max="22" width="0" style="19" hidden="1" customWidth="1"/>
    <col min="23" max="23" width="8.84375" style="19"/>
    <col min="24" max="24" width="12.4609375" style="19" bestFit="1" customWidth="1"/>
    <col min="25" max="26" width="12.4609375" style="19" customWidth="1"/>
    <col min="27" max="16384" width="8.84375" style="19"/>
  </cols>
  <sheetData>
    <row r="1" spans="1:26" ht="43.75">
      <c r="A1" s="19" t="s">
        <v>601</v>
      </c>
      <c r="B1" s="9" t="s">
        <v>5</v>
      </c>
      <c r="C1" s="9" t="s">
        <v>6</v>
      </c>
      <c r="D1" s="9" t="s">
        <v>604</v>
      </c>
      <c r="E1" s="39" t="s">
        <v>602</v>
      </c>
      <c r="F1" s="39" t="s">
        <v>605</v>
      </c>
      <c r="G1" s="39" t="s">
        <v>432</v>
      </c>
      <c r="H1" s="19" t="s">
        <v>430</v>
      </c>
      <c r="I1" s="120" t="s">
        <v>603</v>
      </c>
      <c r="J1" s="19" t="s">
        <v>431</v>
      </c>
      <c r="K1" s="19" t="s">
        <v>427</v>
      </c>
      <c r="L1" s="19" t="s">
        <v>428</v>
      </c>
      <c r="M1" s="19" t="s">
        <v>429</v>
      </c>
      <c r="N1" s="11" t="s">
        <v>430</v>
      </c>
      <c r="O1" s="39" t="s">
        <v>603</v>
      </c>
      <c r="P1" s="11" t="s">
        <v>431</v>
      </c>
      <c r="Q1" s="11" t="s">
        <v>427</v>
      </c>
      <c r="R1" s="11" t="s">
        <v>428</v>
      </c>
      <c r="S1" s="11" t="s">
        <v>429</v>
      </c>
      <c r="T1" s="120" t="s">
        <v>606</v>
      </c>
      <c r="U1" s="120" t="s">
        <v>607</v>
      </c>
      <c r="V1" s="120" t="s">
        <v>608</v>
      </c>
      <c r="W1" s="120" t="s">
        <v>609</v>
      </c>
      <c r="X1" s="120"/>
      <c r="Y1" s="120" t="s">
        <v>610</v>
      </c>
      <c r="Z1" s="120" t="s">
        <v>611</v>
      </c>
    </row>
    <row r="2" spans="1:26">
      <c r="A2" s="121">
        <v>53</v>
      </c>
      <c r="B2" s="122" t="s">
        <v>160</v>
      </c>
      <c r="C2" s="122" t="s">
        <v>161</v>
      </c>
      <c r="D2" s="122">
        <v>409</v>
      </c>
      <c r="E2" s="123">
        <v>408</v>
      </c>
      <c r="F2" s="39">
        <f t="shared" ref="F2:F33" si="0">E2*G2</f>
        <v>131</v>
      </c>
      <c r="G2" s="124">
        <v>0.32107843137254904</v>
      </c>
      <c r="H2" s="121">
        <v>112</v>
      </c>
      <c r="I2" s="19">
        <f t="shared" ref="I2:I33" si="1">SUM(J2:M2)</f>
        <v>17</v>
      </c>
      <c r="J2" s="112">
        <v>4</v>
      </c>
      <c r="K2" s="112">
        <v>10</v>
      </c>
      <c r="L2" s="112">
        <v>3</v>
      </c>
      <c r="M2" s="112">
        <v>0</v>
      </c>
      <c r="N2" s="14">
        <v>0.85496183206106868</v>
      </c>
      <c r="O2" s="14">
        <f t="shared" ref="O2:O33" si="2">SUM(P2:S2)</f>
        <v>0.12977099236641221</v>
      </c>
      <c r="P2" s="14">
        <v>3.0534351145038167E-2</v>
      </c>
      <c r="Q2" s="14">
        <v>7.6335877862595422E-2</v>
      </c>
      <c r="R2" s="14">
        <v>2.2900763358778626E-2</v>
      </c>
      <c r="S2" s="14">
        <v>0</v>
      </c>
      <c r="T2" s="19">
        <f t="shared" ref="T2:T33" si="3">IF(G2&gt;65%, G2, IF(G2&gt;=45%, (100*G2+3)%, (100*G2+5)%))</f>
        <v>0.37107843137254903</v>
      </c>
      <c r="U2" s="19">
        <f t="shared" ref="U2:U33" si="4">T2*D2</f>
        <v>151.77107843137256</v>
      </c>
      <c r="V2" s="126">
        <v>48</v>
      </c>
      <c r="W2" s="126"/>
      <c r="X2" s="127">
        <f t="shared" ref="X2:X33" si="5">(W2/D2)</f>
        <v>0</v>
      </c>
      <c r="Y2" s="127" t="e">
        <f t="shared" ref="Y2:Y33" si="6">G2/X2-1</f>
        <v>#DIV/0!</v>
      </c>
      <c r="Z2" s="127">
        <v>0</v>
      </c>
    </row>
    <row r="3" spans="1:26">
      <c r="A3" s="112">
        <v>60</v>
      </c>
      <c r="B3" s="113" t="s">
        <v>17</v>
      </c>
      <c r="C3" s="113" t="s">
        <v>177</v>
      </c>
      <c r="D3" s="113">
        <v>353</v>
      </c>
      <c r="E3" s="114">
        <v>353</v>
      </c>
      <c r="F3" s="39">
        <f t="shared" si="0"/>
        <v>268</v>
      </c>
      <c r="G3" s="115">
        <v>0.75920679886685549</v>
      </c>
      <c r="H3" s="112">
        <v>209</v>
      </c>
      <c r="I3" s="19">
        <f t="shared" si="1"/>
        <v>58</v>
      </c>
      <c r="J3" s="112">
        <v>6</v>
      </c>
      <c r="K3" s="112">
        <v>48</v>
      </c>
      <c r="L3" s="112">
        <v>4</v>
      </c>
      <c r="M3" s="112">
        <v>0</v>
      </c>
      <c r="N3" s="14">
        <v>0.77985074626865669</v>
      </c>
      <c r="O3" s="14">
        <f t="shared" si="2"/>
        <v>0.21641791044776118</v>
      </c>
      <c r="P3" s="14">
        <v>2.2388059701492536E-2</v>
      </c>
      <c r="Q3" s="14">
        <v>0.17910447761194029</v>
      </c>
      <c r="R3" s="14">
        <v>1.4925373134328358E-2</v>
      </c>
      <c r="S3" s="14">
        <v>0</v>
      </c>
      <c r="T3" s="19">
        <f t="shared" si="3"/>
        <v>0.75920679886685549</v>
      </c>
      <c r="U3" s="19">
        <f t="shared" si="4"/>
        <v>268</v>
      </c>
      <c r="V3" s="126">
        <v>100</v>
      </c>
      <c r="W3" s="126"/>
      <c r="X3" s="127">
        <f t="shared" si="5"/>
        <v>0</v>
      </c>
      <c r="Y3" s="127" t="e">
        <f t="shared" si="6"/>
        <v>#DIV/0!</v>
      </c>
      <c r="Z3" s="127">
        <v>0</v>
      </c>
    </row>
    <row r="4" spans="1:26">
      <c r="A4" s="121">
        <v>61</v>
      </c>
      <c r="B4" s="122" t="s">
        <v>17</v>
      </c>
      <c r="C4" s="122" t="s">
        <v>32</v>
      </c>
      <c r="D4" s="122">
        <v>473</v>
      </c>
      <c r="E4" s="123">
        <v>483</v>
      </c>
      <c r="F4" s="39">
        <f t="shared" si="0"/>
        <v>143</v>
      </c>
      <c r="G4" s="124">
        <v>0.29606625258799174</v>
      </c>
      <c r="H4" s="121">
        <v>121</v>
      </c>
      <c r="I4" s="19">
        <f t="shared" si="1"/>
        <v>11</v>
      </c>
      <c r="J4" s="112">
        <v>3</v>
      </c>
      <c r="K4" s="112">
        <v>8</v>
      </c>
      <c r="L4" s="112">
        <v>0</v>
      </c>
      <c r="M4" s="112">
        <v>0</v>
      </c>
      <c r="N4" s="14">
        <v>0.84615384615384615</v>
      </c>
      <c r="O4" s="14">
        <f t="shared" si="2"/>
        <v>7.6923076923076927E-2</v>
      </c>
      <c r="P4" s="14">
        <v>2.097902097902098E-2</v>
      </c>
      <c r="Q4" s="14">
        <v>5.5944055944055944E-2</v>
      </c>
      <c r="R4" s="14">
        <v>0</v>
      </c>
      <c r="S4" s="14">
        <v>0</v>
      </c>
      <c r="T4" s="19">
        <f t="shared" si="3"/>
        <v>0.34606625258799167</v>
      </c>
      <c r="U4" s="19">
        <f t="shared" si="4"/>
        <v>163.68933747412007</v>
      </c>
      <c r="V4" s="126">
        <v>110</v>
      </c>
      <c r="W4" s="126"/>
      <c r="X4" s="127">
        <f t="shared" si="5"/>
        <v>0</v>
      </c>
      <c r="Y4" s="127" t="e">
        <f t="shared" si="6"/>
        <v>#DIV/0!</v>
      </c>
      <c r="Z4" s="127">
        <v>0</v>
      </c>
    </row>
    <row r="5" spans="1:26" s="100" customFormat="1">
      <c r="A5" s="116">
        <v>65</v>
      </c>
      <c r="B5" s="117" t="s">
        <v>27</v>
      </c>
      <c r="C5" s="117" t="s">
        <v>37</v>
      </c>
      <c r="D5" s="117">
        <v>252</v>
      </c>
      <c r="E5" s="118">
        <v>261</v>
      </c>
      <c r="F5" s="39">
        <f t="shared" si="0"/>
        <v>167</v>
      </c>
      <c r="G5" s="119">
        <v>0.63984674329501912</v>
      </c>
      <c r="H5" s="116">
        <v>139</v>
      </c>
      <c r="I5" s="19">
        <f t="shared" si="1"/>
        <v>24</v>
      </c>
      <c r="J5" s="116">
        <v>7</v>
      </c>
      <c r="K5" s="116">
        <v>12</v>
      </c>
      <c r="L5" s="116">
        <v>3</v>
      </c>
      <c r="M5" s="116">
        <v>2</v>
      </c>
      <c r="N5" s="14">
        <v>0.8</v>
      </c>
      <c r="O5" s="14">
        <f t="shared" si="2"/>
        <v>0.192</v>
      </c>
      <c r="P5" s="14">
        <v>5.6000000000000001E-2</v>
      </c>
      <c r="Q5" s="14">
        <v>9.6000000000000002E-2</v>
      </c>
      <c r="R5" s="14">
        <v>2.4E-2</v>
      </c>
      <c r="S5" s="14">
        <v>1.6E-2</v>
      </c>
      <c r="T5" s="19">
        <f t="shared" si="3"/>
        <v>0.66984674329501914</v>
      </c>
      <c r="U5" s="19">
        <f t="shared" si="4"/>
        <v>168.80137931034483</v>
      </c>
      <c r="V5" s="126">
        <v>90</v>
      </c>
      <c r="W5" s="126"/>
      <c r="X5" s="127">
        <f t="shared" si="5"/>
        <v>0</v>
      </c>
      <c r="Y5" s="127" t="e">
        <f t="shared" si="6"/>
        <v>#DIV/0!</v>
      </c>
      <c r="Z5" s="127">
        <v>0</v>
      </c>
    </row>
    <row r="6" spans="1:26" s="100" customFormat="1">
      <c r="A6" s="121">
        <v>67</v>
      </c>
      <c r="B6" s="122" t="s">
        <v>31</v>
      </c>
      <c r="C6" s="122" t="s">
        <v>187</v>
      </c>
      <c r="D6" s="122">
        <v>489</v>
      </c>
      <c r="E6" s="123">
        <v>473</v>
      </c>
      <c r="F6" s="39">
        <f t="shared" si="0"/>
        <v>152</v>
      </c>
      <c r="G6" s="124">
        <v>0.32135306553911203</v>
      </c>
      <c r="H6" s="121">
        <v>132</v>
      </c>
      <c r="I6" s="19">
        <f t="shared" si="1"/>
        <v>16</v>
      </c>
      <c r="J6" s="112">
        <v>4</v>
      </c>
      <c r="K6" s="112">
        <v>10</v>
      </c>
      <c r="L6" s="112">
        <v>0</v>
      </c>
      <c r="M6" s="112">
        <v>2</v>
      </c>
      <c r="N6" s="14">
        <v>0.86842105263157898</v>
      </c>
      <c r="O6" s="14">
        <f t="shared" si="2"/>
        <v>0.10526315789473684</v>
      </c>
      <c r="P6" s="14">
        <v>2.6315789473684209E-2</v>
      </c>
      <c r="Q6" s="14">
        <v>6.5789473684210523E-2</v>
      </c>
      <c r="R6" s="14">
        <v>0</v>
      </c>
      <c r="S6" s="14">
        <v>1.3157894736842105E-2</v>
      </c>
      <c r="T6" s="19">
        <f t="shared" si="3"/>
        <v>0.37135306553911201</v>
      </c>
      <c r="U6" s="19">
        <f t="shared" si="4"/>
        <v>181.59164904862578</v>
      </c>
      <c r="V6" s="126">
        <v>67</v>
      </c>
      <c r="W6" s="126"/>
      <c r="X6" s="127">
        <f t="shared" si="5"/>
        <v>0</v>
      </c>
      <c r="Y6" s="127" t="e">
        <f t="shared" si="6"/>
        <v>#DIV/0!</v>
      </c>
      <c r="Z6" s="127">
        <v>0</v>
      </c>
    </row>
    <row r="7" spans="1:26" s="100" customFormat="1">
      <c r="A7" s="121">
        <v>68</v>
      </c>
      <c r="B7" s="122" t="s">
        <v>190</v>
      </c>
      <c r="C7" s="122" t="s">
        <v>187</v>
      </c>
      <c r="D7" s="122">
        <v>430</v>
      </c>
      <c r="E7" s="123">
        <v>428</v>
      </c>
      <c r="F7" s="39">
        <f t="shared" si="0"/>
        <v>113</v>
      </c>
      <c r="G7" s="124">
        <v>0.26401869158878505</v>
      </c>
      <c r="H7" s="121">
        <v>102</v>
      </c>
      <c r="I7" s="19">
        <f t="shared" si="1"/>
        <v>11</v>
      </c>
      <c r="J7" s="112">
        <v>0</v>
      </c>
      <c r="K7" s="112">
        <v>9</v>
      </c>
      <c r="L7" s="112">
        <v>1</v>
      </c>
      <c r="M7" s="112">
        <v>1</v>
      </c>
      <c r="N7" s="14">
        <v>0.90265486725663713</v>
      </c>
      <c r="O7" s="14">
        <f t="shared" si="2"/>
        <v>9.7345132743362831E-2</v>
      </c>
      <c r="P7" s="14">
        <v>0</v>
      </c>
      <c r="Q7" s="14">
        <v>7.9646017699115043E-2</v>
      </c>
      <c r="R7" s="14">
        <v>8.8495575221238937E-3</v>
      </c>
      <c r="S7" s="14">
        <v>8.8495575221238937E-3</v>
      </c>
      <c r="T7" s="19">
        <f t="shared" si="3"/>
        <v>0.31401869158878504</v>
      </c>
      <c r="U7" s="19">
        <f t="shared" si="4"/>
        <v>135.02803738317758</v>
      </c>
      <c r="V7" s="126">
        <v>74</v>
      </c>
      <c r="W7" s="126"/>
      <c r="X7" s="127">
        <f t="shared" si="5"/>
        <v>0</v>
      </c>
      <c r="Y7" s="127" t="e">
        <f t="shared" si="6"/>
        <v>#DIV/0!</v>
      </c>
      <c r="Z7" s="127">
        <v>0</v>
      </c>
    </row>
    <row r="8" spans="1:26" s="104" customFormat="1">
      <c r="A8" s="116">
        <v>71</v>
      </c>
      <c r="B8" s="117" t="s">
        <v>27</v>
      </c>
      <c r="C8" s="117" t="s">
        <v>198</v>
      </c>
      <c r="D8" s="117">
        <v>205</v>
      </c>
      <c r="E8" s="118">
        <v>205</v>
      </c>
      <c r="F8" s="39">
        <f t="shared" si="0"/>
        <v>137</v>
      </c>
      <c r="G8" s="119">
        <v>0.66829268292682931</v>
      </c>
      <c r="H8" s="116">
        <v>113</v>
      </c>
      <c r="I8" s="19">
        <f t="shared" si="1"/>
        <v>3</v>
      </c>
      <c r="J8" s="116">
        <v>1</v>
      </c>
      <c r="K8" s="116">
        <v>1</v>
      </c>
      <c r="L8" s="116">
        <v>0</v>
      </c>
      <c r="M8" s="116">
        <v>1</v>
      </c>
      <c r="N8" s="14">
        <v>0.93600000000000005</v>
      </c>
      <c r="O8" s="14">
        <f t="shared" si="2"/>
        <v>3.2000000000000001E-2</v>
      </c>
      <c r="P8" s="14">
        <v>8.0000000000000002E-3</v>
      </c>
      <c r="Q8" s="14">
        <v>1.6E-2</v>
      </c>
      <c r="R8" s="14">
        <v>0</v>
      </c>
      <c r="S8" s="14">
        <v>8.0000000000000002E-3</v>
      </c>
      <c r="T8" s="19">
        <f t="shared" si="3"/>
        <v>0.66829268292682931</v>
      </c>
      <c r="U8" s="19">
        <f t="shared" si="4"/>
        <v>137</v>
      </c>
      <c r="V8" s="126">
        <v>20</v>
      </c>
      <c r="W8" s="126"/>
      <c r="X8" s="127">
        <f t="shared" si="5"/>
        <v>0</v>
      </c>
      <c r="Y8" s="127" t="e">
        <f t="shared" si="6"/>
        <v>#DIV/0!</v>
      </c>
      <c r="Z8" s="127">
        <v>0</v>
      </c>
    </row>
    <row r="9" spans="1:26" s="104" customFormat="1">
      <c r="A9" s="129">
        <v>33</v>
      </c>
      <c r="B9" s="130" t="s">
        <v>119</v>
      </c>
      <c r="C9" s="130" t="s">
        <v>115</v>
      </c>
      <c r="D9" s="130">
        <v>458</v>
      </c>
      <c r="E9" s="131">
        <v>487</v>
      </c>
      <c r="F9" s="132">
        <f t="shared" si="0"/>
        <v>437</v>
      </c>
      <c r="G9" s="133">
        <v>0.89733059548254623</v>
      </c>
      <c r="H9" s="129">
        <v>368</v>
      </c>
      <c r="I9" s="129">
        <f t="shared" si="1"/>
        <v>64</v>
      </c>
      <c r="J9" s="129">
        <v>55</v>
      </c>
      <c r="K9" s="129">
        <v>6</v>
      </c>
      <c r="L9" s="129">
        <v>3</v>
      </c>
      <c r="M9" s="129">
        <v>0</v>
      </c>
      <c r="N9" s="133">
        <v>0.84210526315789469</v>
      </c>
      <c r="O9" s="133">
        <f t="shared" si="2"/>
        <v>0.14645308924485129</v>
      </c>
      <c r="P9" s="133">
        <v>0.12585812356979406</v>
      </c>
      <c r="Q9" s="133">
        <v>1.3729977116704805E-2</v>
      </c>
      <c r="R9" s="133">
        <v>6.8649885583524023E-3</v>
      </c>
      <c r="S9" s="133">
        <v>0</v>
      </c>
      <c r="T9" s="129">
        <f t="shared" si="3"/>
        <v>0.89733059548254623</v>
      </c>
      <c r="U9" s="129">
        <f t="shared" si="4"/>
        <v>410.97741273100615</v>
      </c>
      <c r="V9" s="134">
        <v>88</v>
      </c>
      <c r="W9" s="134">
        <v>145</v>
      </c>
      <c r="X9" s="135">
        <f t="shared" si="5"/>
        <v>0.31659388646288211</v>
      </c>
      <c r="Y9" s="135">
        <f t="shared" si="6"/>
        <v>1.8343269843517667</v>
      </c>
      <c r="Z9" s="127">
        <v>1.83</v>
      </c>
    </row>
    <row r="10" spans="1:26" s="104" customFormat="1">
      <c r="A10" s="112">
        <v>26</v>
      </c>
      <c r="B10" s="113" t="s">
        <v>106</v>
      </c>
      <c r="C10" s="113" t="s">
        <v>107</v>
      </c>
      <c r="D10" s="113">
        <v>514</v>
      </c>
      <c r="E10" s="114">
        <v>525</v>
      </c>
      <c r="F10" s="39">
        <f t="shared" si="0"/>
        <v>277</v>
      </c>
      <c r="G10" s="115">
        <v>0.52761904761904765</v>
      </c>
      <c r="H10" s="112">
        <v>243</v>
      </c>
      <c r="I10" s="19">
        <f t="shared" si="1"/>
        <v>29</v>
      </c>
      <c r="J10" s="112">
        <v>4</v>
      </c>
      <c r="K10" s="112">
        <v>19</v>
      </c>
      <c r="L10" s="112">
        <v>2</v>
      </c>
      <c r="M10" s="112">
        <v>4</v>
      </c>
      <c r="N10" s="14">
        <v>0.87725631768953072</v>
      </c>
      <c r="O10" s="14">
        <f t="shared" si="2"/>
        <v>0.10469314079422383</v>
      </c>
      <c r="P10" s="14">
        <v>1.444043321299639E-2</v>
      </c>
      <c r="Q10" s="14">
        <v>6.8592057761732855E-2</v>
      </c>
      <c r="R10" s="14">
        <v>7.2202166064981952E-3</v>
      </c>
      <c r="S10" s="14">
        <v>1.444043321299639E-2</v>
      </c>
      <c r="T10" s="19">
        <f t="shared" si="3"/>
        <v>0.55761904761904768</v>
      </c>
      <c r="U10" s="19">
        <f t="shared" si="4"/>
        <v>286.61619047619052</v>
      </c>
      <c r="V10" s="126">
        <v>76</v>
      </c>
      <c r="W10" s="126">
        <v>140</v>
      </c>
      <c r="X10" s="127">
        <f t="shared" si="5"/>
        <v>0.2723735408560311</v>
      </c>
      <c r="Y10" s="127">
        <f t="shared" si="6"/>
        <v>0.93711564625850374</v>
      </c>
      <c r="Z10" s="127">
        <v>0.94</v>
      </c>
    </row>
    <row r="11" spans="1:26" s="108" customFormat="1" ht="15.65" customHeight="1">
      <c r="A11" s="112">
        <v>31</v>
      </c>
      <c r="B11" s="113" t="s">
        <v>114</v>
      </c>
      <c r="C11" s="113" t="s">
        <v>115</v>
      </c>
      <c r="D11" s="113">
        <v>487</v>
      </c>
      <c r="E11" s="114">
        <v>483</v>
      </c>
      <c r="F11" s="39">
        <f t="shared" si="0"/>
        <v>247</v>
      </c>
      <c r="G11" s="115">
        <v>0.51138716356107661</v>
      </c>
      <c r="H11" s="112">
        <v>222</v>
      </c>
      <c r="I11" s="19">
        <f t="shared" si="1"/>
        <v>19</v>
      </c>
      <c r="J11" s="112">
        <v>6</v>
      </c>
      <c r="K11" s="112">
        <v>11</v>
      </c>
      <c r="L11" s="112">
        <v>2</v>
      </c>
      <c r="M11" s="112">
        <v>0</v>
      </c>
      <c r="N11" s="14">
        <v>0.89878542510121462</v>
      </c>
      <c r="O11" s="14">
        <f t="shared" si="2"/>
        <v>8.0971659919028327E-2</v>
      </c>
      <c r="P11" s="14">
        <v>2.4291497975708502E-2</v>
      </c>
      <c r="Q11" s="14">
        <v>4.8582995951417005E-2</v>
      </c>
      <c r="R11" s="14">
        <v>8.0971659919028341E-3</v>
      </c>
      <c r="S11" s="14">
        <v>0</v>
      </c>
      <c r="T11" s="19">
        <f t="shared" si="3"/>
        <v>0.54138716356107652</v>
      </c>
      <c r="U11" s="19">
        <f t="shared" si="4"/>
        <v>263.65554865424428</v>
      </c>
      <c r="V11" s="126">
        <v>100</v>
      </c>
      <c r="W11" s="126">
        <v>145</v>
      </c>
      <c r="X11" s="127">
        <f t="shared" si="5"/>
        <v>0.29774127310061604</v>
      </c>
      <c r="Y11" s="127">
        <f t="shared" si="6"/>
        <v>0.71755550796030532</v>
      </c>
      <c r="Z11" s="127">
        <v>0.72</v>
      </c>
    </row>
    <row r="12" spans="1:26" s="108" customFormat="1">
      <c r="A12" s="112">
        <v>52</v>
      </c>
      <c r="B12" s="113" t="s">
        <v>17</v>
      </c>
      <c r="C12" s="113" t="s">
        <v>156</v>
      </c>
      <c r="D12" s="113">
        <v>422</v>
      </c>
      <c r="E12" s="114">
        <v>435</v>
      </c>
      <c r="F12" s="39">
        <f t="shared" si="0"/>
        <v>246</v>
      </c>
      <c r="G12" s="115">
        <v>0.56551724137931036</v>
      </c>
      <c r="H12" s="112">
        <v>206</v>
      </c>
      <c r="I12" s="19">
        <f t="shared" si="1"/>
        <v>14</v>
      </c>
      <c r="J12" s="112">
        <v>0</v>
      </c>
      <c r="K12" s="112">
        <v>12</v>
      </c>
      <c r="L12" s="112">
        <v>2</v>
      </c>
      <c r="M12" s="112">
        <v>0</v>
      </c>
      <c r="N12" s="14">
        <v>0.83739837398373984</v>
      </c>
      <c r="O12" s="14">
        <f t="shared" si="2"/>
        <v>6.0975609756097567E-2</v>
      </c>
      <c r="P12" s="14">
        <v>0</v>
      </c>
      <c r="Q12" s="14">
        <v>5.2845528455284556E-2</v>
      </c>
      <c r="R12" s="14">
        <v>8.130081300813009E-3</v>
      </c>
      <c r="S12" s="14">
        <v>0</v>
      </c>
      <c r="T12" s="19">
        <f t="shared" si="3"/>
        <v>0.59551724137931039</v>
      </c>
      <c r="U12" s="19">
        <f t="shared" si="4"/>
        <v>251.308275862069</v>
      </c>
      <c r="V12" s="126">
        <v>80</v>
      </c>
      <c r="W12" s="126">
        <v>158</v>
      </c>
      <c r="X12" s="127">
        <f t="shared" si="5"/>
        <v>0.37440758293838861</v>
      </c>
      <c r="Y12" s="127">
        <f t="shared" si="6"/>
        <v>0.51043212570929741</v>
      </c>
      <c r="Z12" s="127">
        <v>0.51</v>
      </c>
    </row>
    <row r="13" spans="1:26" s="108" customFormat="1">
      <c r="A13" s="100">
        <v>17</v>
      </c>
      <c r="B13" s="101" t="s">
        <v>88</v>
      </c>
      <c r="C13" s="101" t="s">
        <v>89</v>
      </c>
      <c r="D13" s="101">
        <v>1041</v>
      </c>
      <c r="E13" s="102">
        <v>1017</v>
      </c>
      <c r="F13" s="39">
        <f t="shared" si="0"/>
        <v>578</v>
      </c>
      <c r="G13" s="103">
        <v>0.5683382497541789</v>
      </c>
      <c r="H13" s="100">
        <v>387</v>
      </c>
      <c r="I13" s="19">
        <f t="shared" si="1"/>
        <v>177</v>
      </c>
      <c r="J13" s="100">
        <v>22</v>
      </c>
      <c r="K13" s="100">
        <v>124</v>
      </c>
      <c r="L13" s="100">
        <v>27</v>
      </c>
      <c r="M13" s="100">
        <v>4</v>
      </c>
      <c r="N13" s="14">
        <v>0.66955017301038067</v>
      </c>
      <c r="O13" s="14">
        <f t="shared" si="2"/>
        <v>0.30968858131487892</v>
      </c>
      <c r="P13" s="14">
        <v>4.1522491349480967E-2</v>
      </c>
      <c r="Q13" s="14">
        <v>0.21453287197231835</v>
      </c>
      <c r="R13" s="14">
        <v>4.6712802768166091E-2</v>
      </c>
      <c r="S13" s="14">
        <v>6.920415224913495E-3</v>
      </c>
      <c r="T13" s="19">
        <f t="shared" si="3"/>
        <v>0.59833824975417893</v>
      </c>
      <c r="U13" s="19">
        <f t="shared" si="4"/>
        <v>622.87011799410027</v>
      </c>
      <c r="V13" s="126">
        <v>174</v>
      </c>
      <c r="W13" s="126">
        <v>415</v>
      </c>
      <c r="X13" s="127">
        <f t="shared" si="5"/>
        <v>0.39865513928914503</v>
      </c>
      <c r="Y13" s="127">
        <f t="shared" si="6"/>
        <v>0.42563883854000073</v>
      </c>
      <c r="Z13" s="127">
        <v>0.43</v>
      </c>
    </row>
    <row r="14" spans="1:26" s="108" customFormat="1">
      <c r="A14" s="104">
        <v>1</v>
      </c>
      <c r="B14" s="105" t="s">
        <v>45</v>
      </c>
      <c r="C14" s="105" t="s">
        <v>46</v>
      </c>
      <c r="D14" s="105">
        <v>945</v>
      </c>
      <c r="E14" s="106">
        <v>951</v>
      </c>
      <c r="F14" s="39">
        <f t="shared" si="0"/>
        <v>373</v>
      </c>
      <c r="G14" s="107">
        <v>0.39221871713985279</v>
      </c>
      <c r="H14" s="104">
        <v>293</v>
      </c>
      <c r="I14" s="19">
        <f t="shared" si="1"/>
        <v>73</v>
      </c>
      <c r="J14" s="104">
        <v>16</v>
      </c>
      <c r="K14" s="104">
        <v>43</v>
      </c>
      <c r="L14" s="104">
        <v>13</v>
      </c>
      <c r="M14" s="104">
        <v>1</v>
      </c>
      <c r="N14" s="14">
        <v>0.78552278820375332</v>
      </c>
      <c r="O14" s="14">
        <f t="shared" si="2"/>
        <v>0.20107238605898123</v>
      </c>
      <c r="P14" s="14">
        <v>4.8257372654155493E-2</v>
      </c>
      <c r="Q14" s="14">
        <v>0.11528150134048257</v>
      </c>
      <c r="R14" s="14">
        <v>3.4852546916890083E-2</v>
      </c>
      <c r="S14" s="14">
        <v>2.6809651474530832E-3</v>
      </c>
      <c r="T14" s="19">
        <f t="shared" si="3"/>
        <v>0.44221871713985278</v>
      </c>
      <c r="U14" s="19">
        <f t="shared" si="4"/>
        <v>417.89668769716087</v>
      </c>
      <c r="V14" s="125">
        <v>182</v>
      </c>
      <c r="W14" s="125">
        <v>264</v>
      </c>
      <c r="X14" s="127">
        <f t="shared" si="5"/>
        <v>0.27936507936507937</v>
      </c>
      <c r="Y14" s="127">
        <f t="shared" si="6"/>
        <v>0.40396472612560941</v>
      </c>
      <c r="Z14" s="127">
        <v>0.4</v>
      </c>
    </row>
    <row r="15" spans="1:26" s="108" customFormat="1">
      <c r="A15" s="104">
        <v>16</v>
      </c>
      <c r="B15" s="105" t="s">
        <v>85</v>
      </c>
      <c r="C15" s="105" t="s">
        <v>86</v>
      </c>
      <c r="D15" s="105">
        <v>843</v>
      </c>
      <c r="E15" s="106">
        <v>854</v>
      </c>
      <c r="F15" s="39">
        <f t="shared" si="0"/>
        <v>504</v>
      </c>
      <c r="G15" s="107">
        <v>0.5901639344262295</v>
      </c>
      <c r="H15" s="104">
        <v>338</v>
      </c>
      <c r="I15" s="19">
        <f t="shared" si="1"/>
        <v>151</v>
      </c>
      <c r="J15" s="104">
        <v>30</v>
      </c>
      <c r="K15" s="104">
        <v>104</v>
      </c>
      <c r="L15" s="104">
        <v>13</v>
      </c>
      <c r="M15" s="104">
        <v>4</v>
      </c>
      <c r="N15" s="14">
        <v>0.67063492063492058</v>
      </c>
      <c r="O15" s="14">
        <f t="shared" si="2"/>
        <v>0.30555555555555558</v>
      </c>
      <c r="P15" s="14">
        <v>5.9523809523809521E-2</v>
      </c>
      <c r="Q15" s="14">
        <v>0.2123015873015873</v>
      </c>
      <c r="R15" s="14">
        <v>2.5793650793650792E-2</v>
      </c>
      <c r="S15" s="14">
        <v>7.9365079365079361E-3</v>
      </c>
      <c r="T15" s="19">
        <f t="shared" si="3"/>
        <v>0.62016393442622952</v>
      </c>
      <c r="U15" s="19">
        <f t="shared" si="4"/>
        <v>522.79819672131146</v>
      </c>
      <c r="V15" s="126">
        <v>70</v>
      </c>
      <c r="W15" s="126">
        <v>360</v>
      </c>
      <c r="X15" s="127">
        <f t="shared" si="5"/>
        <v>0.42704626334519574</v>
      </c>
      <c r="Y15" s="127">
        <f t="shared" si="6"/>
        <v>0.38196721311475401</v>
      </c>
      <c r="Z15" s="127">
        <v>0.38</v>
      </c>
    </row>
    <row r="16" spans="1:26" s="108" customFormat="1">
      <c r="A16" s="121">
        <v>66</v>
      </c>
      <c r="B16" s="122" t="s">
        <v>12</v>
      </c>
      <c r="C16" s="122" t="s">
        <v>187</v>
      </c>
      <c r="D16" s="122">
        <v>492</v>
      </c>
      <c r="E16" s="123">
        <v>492</v>
      </c>
      <c r="F16" s="39">
        <f t="shared" si="0"/>
        <v>122</v>
      </c>
      <c r="G16" s="124">
        <v>0.24796747967479674</v>
      </c>
      <c r="H16" s="121">
        <v>100</v>
      </c>
      <c r="I16" s="19">
        <f t="shared" si="1"/>
        <v>22</v>
      </c>
      <c r="J16" s="112">
        <v>6</v>
      </c>
      <c r="K16" s="112">
        <v>15</v>
      </c>
      <c r="L16" s="112">
        <v>0</v>
      </c>
      <c r="M16" s="112">
        <v>1</v>
      </c>
      <c r="N16" s="14">
        <v>0.81967213114754101</v>
      </c>
      <c r="O16" s="14">
        <f t="shared" si="2"/>
        <v>0.18032786885245902</v>
      </c>
      <c r="P16" s="14">
        <v>4.9180327868852458E-2</v>
      </c>
      <c r="Q16" s="14">
        <v>0.12295081967213115</v>
      </c>
      <c r="R16" s="14">
        <v>0</v>
      </c>
      <c r="S16" s="14">
        <v>8.1967213114754103E-3</v>
      </c>
      <c r="T16" s="19">
        <f t="shared" si="3"/>
        <v>0.29796747967479675</v>
      </c>
      <c r="U16" s="19">
        <f t="shared" si="4"/>
        <v>146.6</v>
      </c>
      <c r="V16" s="126">
        <v>53</v>
      </c>
      <c r="W16" s="126">
        <v>90</v>
      </c>
      <c r="X16" s="127">
        <f t="shared" si="5"/>
        <v>0.18292682926829268</v>
      </c>
      <c r="Y16" s="127">
        <f t="shared" si="6"/>
        <v>0.35555555555555562</v>
      </c>
      <c r="Z16" s="127">
        <v>0.36</v>
      </c>
    </row>
    <row r="17" spans="1:26" s="108" customFormat="1">
      <c r="A17" s="112">
        <v>51</v>
      </c>
      <c r="B17" s="113" t="s">
        <v>130</v>
      </c>
      <c r="C17" s="113" t="s">
        <v>156</v>
      </c>
      <c r="D17" s="113">
        <v>390</v>
      </c>
      <c r="E17" s="114">
        <v>396</v>
      </c>
      <c r="F17" s="39">
        <f t="shared" si="0"/>
        <v>206</v>
      </c>
      <c r="G17" s="115">
        <v>0.52020202020202022</v>
      </c>
      <c r="H17" s="112">
        <v>169</v>
      </c>
      <c r="I17" s="19">
        <f t="shared" si="1"/>
        <v>20</v>
      </c>
      <c r="J17" s="112">
        <v>1</v>
      </c>
      <c r="K17" s="112">
        <v>12</v>
      </c>
      <c r="L17" s="112">
        <v>6</v>
      </c>
      <c r="M17" s="112">
        <v>1</v>
      </c>
      <c r="N17" s="14">
        <v>0.82038834951456308</v>
      </c>
      <c r="O17" s="14">
        <f t="shared" si="2"/>
        <v>9.7087378640776698E-2</v>
      </c>
      <c r="P17" s="14">
        <v>4.8543689320388345E-3</v>
      </c>
      <c r="Q17" s="14">
        <v>5.8252427184466021E-2</v>
      </c>
      <c r="R17" s="14">
        <v>2.9126213592233011E-2</v>
      </c>
      <c r="S17" s="14">
        <v>4.8543689320388345E-3</v>
      </c>
      <c r="T17" s="19">
        <f t="shared" si="3"/>
        <v>0.55020202020202025</v>
      </c>
      <c r="U17" s="19">
        <f t="shared" si="4"/>
        <v>214.57878787878789</v>
      </c>
      <c r="V17" s="126">
        <v>82</v>
      </c>
      <c r="W17" s="126">
        <v>150</v>
      </c>
      <c r="X17" s="127">
        <f t="shared" si="5"/>
        <v>0.38461538461538464</v>
      </c>
      <c r="Y17" s="127">
        <f t="shared" si="6"/>
        <v>0.35252525252525246</v>
      </c>
      <c r="Z17" s="127">
        <v>0.35</v>
      </c>
    </row>
    <row r="18" spans="1:26" s="108" customFormat="1">
      <c r="A18" s="108">
        <v>15</v>
      </c>
      <c r="B18" s="109" t="s">
        <v>82</v>
      </c>
      <c r="C18" s="109" t="s">
        <v>83</v>
      </c>
      <c r="D18" s="109">
        <v>597</v>
      </c>
      <c r="E18" s="110">
        <v>624</v>
      </c>
      <c r="F18" s="39">
        <f t="shared" si="0"/>
        <v>379.99999999999994</v>
      </c>
      <c r="G18" s="111">
        <v>0.60897435897435892</v>
      </c>
      <c r="H18" s="108">
        <v>187</v>
      </c>
      <c r="I18" s="19">
        <f t="shared" si="1"/>
        <v>180</v>
      </c>
      <c r="J18" s="108">
        <v>28</v>
      </c>
      <c r="K18" s="108">
        <v>139</v>
      </c>
      <c r="L18" s="108">
        <v>11</v>
      </c>
      <c r="M18" s="108">
        <v>2</v>
      </c>
      <c r="N18" s="14">
        <v>0.49210526315789471</v>
      </c>
      <c r="O18" s="14">
        <f t="shared" si="2"/>
        <v>0.48157894736842111</v>
      </c>
      <c r="P18" s="14">
        <v>8.1578947368421056E-2</v>
      </c>
      <c r="Q18" s="14">
        <v>0.36578947368421055</v>
      </c>
      <c r="R18" s="14">
        <v>2.8947368421052631E-2</v>
      </c>
      <c r="S18" s="14">
        <v>5.263157894736842E-3</v>
      </c>
      <c r="T18" s="19">
        <f t="shared" si="3"/>
        <v>0.63897435897435895</v>
      </c>
      <c r="U18" s="19">
        <f t="shared" si="4"/>
        <v>381.46769230769229</v>
      </c>
      <c r="V18" s="126">
        <v>129</v>
      </c>
      <c r="W18" s="126">
        <v>271</v>
      </c>
      <c r="X18" s="127">
        <f t="shared" si="5"/>
        <v>0.45393634840871022</v>
      </c>
      <c r="Y18" s="127">
        <f t="shared" si="6"/>
        <v>0.34154130002838468</v>
      </c>
      <c r="Z18" s="127">
        <v>0.34</v>
      </c>
    </row>
    <row r="19" spans="1:26" s="108" customFormat="1">
      <c r="A19" s="19">
        <v>48</v>
      </c>
      <c r="B19" s="3" t="s">
        <v>150</v>
      </c>
      <c r="C19" s="3" t="s">
        <v>148</v>
      </c>
      <c r="D19" s="3">
        <v>125</v>
      </c>
      <c r="E19" s="11">
        <v>140</v>
      </c>
      <c r="F19" s="39">
        <f t="shared" si="0"/>
        <v>81.000000000000014</v>
      </c>
      <c r="G19" s="14">
        <v>0.57857142857142863</v>
      </c>
      <c r="H19" s="19">
        <v>80</v>
      </c>
      <c r="I19" s="19">
        <f t="shared" si="1"/>
        <v>0</v>
      </c>
      <c r="J19" s="19">
        <v>0</v>
      </c>
      <c r="K19" s="19">
        <v>0</v>
      </c>
      <c r="L19" s="19">
        <v>0</v>
      </c>
      <c r="M19" s="19">
        <v>0</v>
      </c>
      <c r="N19" s="14">
        <v>0.98765432098765427</v>
      </c>
      <c r="O19" s="14">
        <f t="shared" si="2"/>
        <v>0</v>
      </c>
      <c r="P19" s="14">
        <v>0</v>
      </c>
      <c r="Q19" s="14">
        <v>0</v>
      </c>
      <c r="R19" s="14">
        <v>0</v>
      </c>
      <c r="S19" s="14">
        <v>0</v>
      </c>
      <c r="T19" s="19">
        <f t="shared" si="3"/>
        <v>0.60857142857142865</v>
      </c>
      <c r="U19" s="19">
        <f t="shared" si="4"/>
        <v>76.071428571428584</v>
      </c>
      <c r="V19" s="126">
        <v>26</v>
      </c>
      <c r="W19" s="126">
        <v>54</v>
      </c>
      <c r="X19" s="127">
        <f t="shared" si="5"/>
        <v>0.432</v>
      </c>
      <c r="Y19" s="127">
        <f t="shared" si="6"/>
        <v>0.33928571428571441</v>
      </c>
      <c r="Z19" s="127">
        <v>0.34</v>
      </c>
    </row>
    <row r="20" spans="1:26" s="108" customFormat="1">
      <c r="A20" s="108">
        <v>24</v>
      </c>
      <c r="B20" s="109" t="s">
        <v>17</v>
      </c>
      <c r="C20" s="109" t="s">
        <v>102</v>
      </c>
      <c r="D20" s="109">
        <v>612</v>
      </c>
      <c r="E20" s="110">
        <v>582</v>
      </c>
      <c r="F20" s="39">
        <f t="shared" si="0"/>
        <v>247</v>
      </c>
      <c r="G20" s="111">
        <v>0.42439862542955326</v>
      </c>
      <c r="H20" s="108">
        <v>187</v>
      </c>
      <c r="I20" s="19">
        <f t="shared" si="1"/>
        <v>51</v>
      </c>
      <c r="J20" s="108">
        <v>8</v>
      </c>
      <c r="K20" s="108">
        <v>36</v>
      </c>
      <c r="L20" s="108">
        <v>6</v>
      </c>
      <c r="M20" s="108">
        <v>1</v>
      </c>
      <c r="N20" s="14">
        <v>0.75708502024291502</v>
      </c>
      <c r="O20" s="14">
        <f t="shared" si="2"/>
        <v>0.20647773279352227</v>
      </c>
      <c r="P20" s="14">
        <v>3.2388663967611336E-2</v>
      </c>
      <c r="Q20" s="14">
        <v>0.145748987854251</v>
      </c>
      <c r="R20" s="14">
        <v>2.4291497975708502E-2</v>
      </c>
      <c r="S20" s="14">
        <v>4.048582995951417E-3</v>
      </c>
      <c r="T20" s="19">
        <f t="shared" si="3"/>
        <v>0.47439862542955324</v>
      </c>
      <c r="U20" s="19">
        <f t="shared" si="4"/>
        <v>290.33195876288659</v>
      </c>
      <c r="V20" s="126">
        <v>83</v>
      </c>
      <c r="W20" s="126">
        <v>195</v>
      </c>
      <c r="X20" s="127">
        <f t="shared" si="5"/>
        <v>0.31862745098039214</v>
      </c>
      <c r="Y20" s="127">
        <f t="shared" si="6"/>
        <v>0.33195876288659809</v>
      </c>
      <c r="Z20" s="127">
        <v>0.33</v>
      </c>
    </row>
    <row r="21" spans="1:26" s="108" customFormat="1">
      <c r="A21" s="121">
        <v>30</v>
      </c>
      <c r="B21" s="122" t="s">
        <v>17</v>
      </c>
      <c r="C21" s="122" t="s">
        <v>38</v>
      </c>
      <c r="D21" s="122">
        <v>492</v>
      </c>
      <c r="E21" s="123">
        <v>498</v>
      </c>
      <c r="F21" s="39">
        <f t="shared" si="0"/>
        <v>193</v>
      </c>
      <c r="G21" s="124">
        <v>0.38755020080321284</v>
      </c>
      <c r="H21" s="121">
        <v>171</v>
      </c>
      <c r="I21" s="19">
        <f t="shared" si="1"/>
        <v>16</v>
      </c>
      <c r="J21" s="112">
        <v>4</v>
      </c>
      <c r="K21" s="112">
        <v>11</v>
      </c>
      <c r="L21" s="112">
        <v>0</v>
      </c>
      <c r="M21" s="112">
        <v>1</v>
      </c>
      <c r="N21" s="14">
        <v>0.88601036269430056</v>
      </c>
      <c r="O21" s="14">
        <f t="shared" si="2"/>
        <v>8.2901554404145081E-2</v>
      </c>
      <c r="P21" s="14">
        <v>2.072538860103627E-2</v>
      </c>
      <c r="Q21" s="14">
        <v>5.6994818652849742E-2</v>
      </c>
      <c r="R21" s="14">
        <v>0</v>
      </c>
      <c r="S21" s="14">
        <v>5.1813471502590676E-3</v>
      </c>
      <c r="T21" s="19">
        <f t="shared" si="3"/>
        <v>0.43755020080321289</v>
      </c>
      <c r="U21" s="19">
        <f t="shared" si="4"/>
        <v>215.27469879518074</v>
      </c>
      <c r="V21" s="126">
        <v>98</v>
      </c>
      <c r="W21" s="126">
        <v>145</v>
      </c>
      <c r="X21" s="127">
        <f t="shared" si="5"/>
        <v>0.29471544715447157</v>
      </c>
      <c r="Y21" s="127">
        <f t="shared" si="6"/>
        <v>0.31499792272538407</v>
      </c>
      <c r="Z21" s="127">
        <v>0.31</v>
      </c>
    </row>
    <row r="22" spans="1:26">
      <c r="A22" s="19">
        <v>11</v>
      </c>
      <c r="B22" s="3" t="s">
        <v>71</v>
      </c>
      <c r="C22" s="3" t="s">
        <v>72</v>
      </c>
      <c r="D22" s="3">
        <v>2138</v>
      </c>
      <c r="E22" s="11">
        <v>2070</v>
      </c>
      <c r="F22" s="39">
        <f t="shared" si="0"/>
        <v>1016</v>
      </c>
      <c r="G22" s="14">
        <v>0.49082125603864735</v>
      </c>
      <c r="H22" s="19">
        <v>627</v>
      </c>
      <c r="I22" s="19">
        <f t="shared" si="1"/>
        <v>347</v>
      </c>
      <c r="J22" s="19">
        <v>56</v>
      </c>
      <c r="K22" s="19">
        <v>245</v>
      </c>
      <c r="L22" s="19">
        <v>40</v>
      </c>
      <c r="M22" s="19">
        <v>6</v>
      </c>
      <c r="N22" s="14">
        <v>0.61712598425196852</v>
      </c>
      <c r="O22" s="14">
        <f t="shared" si="2"/>
        <v>0.34350393700787396</v>
      </c>
      <c r="P22" s="14">
        <v>5.905511811023622E-2</v>
      </c>
      <c r="Q22" s="14">
        <v>0.23917322834645668</v>
      </c>
      <c r="R22" s="14">
        <v>3.937007874015748E-2</v>
      </c>
      <c r="S22" s="14">
        <v>5.905511811023622E-3</v>
      </c>
      <c r="T22" s="19">
        <f t="shared" si="3"/>
        <v>0.52082125603864737</v>
      </c>
      <c r="U22" s="19">
        <f t="shared" si="4"/>
        <v>1113.5158454106281</v>
      </c>
      <c r="V22" s="126">
        <v>350</v>
      </c>
      <c r="W22" s="126">
        <v>800</v>
      </c>
      <c r="X22" s="127">
        <f t="shared" si="5"/>
        <v>0.37418147801683815</v>
      </c>
      <c r="Y22" s="127">
        <f t="shared" si="6"/>
        <v>0.31171980676328515</v>
      </c>
      <c r="Z22" s="127">
        <v>0.31</v>
      </c>
    </row>
    <row r="23" spans="1:26">
      <c r="A23" s="116">
        <v>41</v>
      </c>
      <c r="B23" s="117" t="s">
        <v>137</v>
      </c>
      <c r="C23" s="117" t="s">
        <v>135</v>
      </c>
      <c r="D23" s="117">
        <v>236</v>
      </c>
      <c r="E23" s="118">
        <v>234</v>
      </c>
      <c r="F23" s="39">
        <f t="shared" si="0"/>
        <v>103</v>
      </c>
      <c r="G23" s="119">
        <v>0.44017094017094016</v>
      </c>
      <c r="H23" s="116">
        <v>92</v>
      </c>
      <c r="I23" s="19">
        <f t="shared" si="1"/>
        <v>27</v>
      </c>
      <c r="J23" s="116">
        <v>2</v>
      </c>
      <c r="K23" s="116">
        <v>21</v>
      </c>
      <c r="L23" s="116">
        <v>3</v>
      </c>
      <c r="M23" s="116">
        <v>1</v>
      </c>
      <c r="N23" s="14">
        <v>0.77235772357723576</v>
      </c>
      <c r="O23" s="14">
        <f t="shared" si="2"/>
        <v>0.21951219512195122</v>
      </c>
      <c r="P23" s="14">
        <v>1.6260162601626018E-2</v>
      </c>
      <c r="Q23" s="14">
        <v>0.17073170731707318</v>
      </c>
      <c r="R23" s="14">
        <v>2.4390243902439025E-2</v>
      </c>
      <c r="S23" s="14">
        <v>8.130081300813009E-3</v>
      </c>
      <c r="T23" s="19">
        <f t="shared" si="3"/>
        <v>0.49017094017094015</v>
      </c>
      <c r="U23" s="19">
        <f t="shared" si="4"/>
        <v>115.68034188034187</v>
      </c>
      <c r="V23" s="126">
        <v>37</v>
      </c>
      <c r="W23" s="126">
        <v>80</v>
      </c>
      <c r="X23" s="127">
        <f t="shared" si="5"/>
        <v>0.33898305084745761</v>
      </c>
      <c r="Y23" s="127">
        <f t="shared" si="6"/>
        <v>0.29850427350427355</v>
      </c>
      <c r="Z23" s="127">
        <v>0.3</v>
      </c>
    </row>
    <row r="24" spans="1:26">
      <c r="A24" s="100">
        <v>2</v>
      </c>
      <c r="B24" s="101" t="s">
        <v>49</v>
      </c>
      <c r="C24" s="101" t="s">
        <v>46</v>
      </c>
      <c r="D24" s="101">
        <v>1015</v>
      </c>
      <c r="E24" s="102">
        <v>1057</v>
      </c>
      <c r="F24" s="39">
        <f t="shared" si="0"/>
        <v>536</v>
      </c>
      <c r="G24" s="103">
        <v>0.50709555345316937</v>
      </c>
      <c r="H24" s="100">
        <v>355</v>
      </c>
      <c r="I24" s="19">
        <f t="shared" si="1"/>
        <v>161</v>
      </c>
      <c r="J24" s="100">
        <v>21</v>
      </c>
      <c r="K24" s="100">
        <v>123</v>
      </c>
      <c r="L24" s="100">
        <v>12</v>
      </c>
      <c r="M24" s="100">
        <v>5</v>
      </c>
      <c r="N24" s="14">
        <v>0.66231343283582089</v>
      </c>
      <c r="O24" s="14">
        <f t="shared" si="2"/>
        <v>0.30410447761194032</v>
      </c>
      <c r="P24" s="14">
        <v>4.4776119402985072E-2</v>
      </c>
      <c r="Q24" s="14">
        <v>0.22761194029850745</v>
      </c>
      <c r="R24" s="14">
        <v>2.2388059701492536E-2</v>
      </c>
      <c r="S24" s="14">
        <v>9.3283582089552231E-3</v>
      </c>
      <c r="T24" s="19">
        <f t="shared" si="3"/>
        <v>0.53709555345316939</v>
      </c>
      <c r="U24" s="19">
        <f t="shared" si="4"/>
        <v>545.15198675496697</v>
      </c>
      <c r="V24" s="126">
        <v>160</v>
      </c>
      <c r="W24" s="126">
        <v>400</v>
      </c>
      <c r="X24" s="127">
        <f t="shared" si="5"/>
        <v>0.39408866995073893</v>
      </c>
      <c r="Y24" s="127">
        <f t="shared" si="6"/>
        <v>0.2867549668874172</v>
      </c>
      <c r="Z24" s="127">
        <v>0.28999999999999998</v>
      </c>
    </row>
    <row r="25" spans="1:26">
      <c r="A25" s="112">
        <v>7</v>
      </c>
      <c r="B25" s="113" t="s">
        <v>61</v>
      </c>
      <c r="C25" s="113" t="s">
        <v>55</v>
      </c>
      <c r="D25" s="113">
        <v>416</v>
      </c>
      <c r="E25" s="114">
        <v>441</v>
      </c>
      <c r="F25" s="39">
        <f t="shared" si="0"/>
        <v>260</v>
      </c>
      <c r="G25" s="115">
        <v>0.58956916099773238</v>
      </c>
      <c r="H25" s="112">
        <v>156</v>
      </c>
      <c r="I25" s="19">
        <f t="shared" si="1"/>
        <v>95</v>
      </c>
      <c r="J25" s="112">
        <v>10</v>
      </c>
      <c r="K25" s="112">
        <v>73</v>
      </c>
      <c r="L25" s="112">
        <v>10</v>
      </c>
      <c r="M25" s="112">
        <v>2</v>
      </c>
      <c r="N25" s="14">
        <v>0.6</v>
      </c>
      <c r="O25" s="14">
        <f t="shared" si="2"/>
        <v>0.37307692307692297</v>
      </c>
      <c r="P25" s="14">
        <v>3.8461538461538464E-2</v>
      </c>
      <c r="Q25" s="14">
        <v>0.28846153846153844</v>
      </c>
      <c r="R25" s="14">
        <v>3.8461538461538464E-2</v>
      </c>
      <c r="S25" s="14">
        <v>7.6923076923076927E-3</v>
      </c>
      <c r="T25" s="19">
        <f t="shared" si="3"/>
        <v>0.6195691609977324</v>
      </c>
      <c r="U25" s="19">
        <f t="shared" si="4"/>
        <v>257.74077097505671</v>
      </c>
      <c r="V25" s="126">
        <v>101</v>
      </c>
      <c r="W25" s="126">
        <v>191</v>
      </c>
      <c r="X25" s="127">
        <f t="shared" si="5"/>
        <v>0.45913461538461536</v>
      </c>
      <c r="Y25" s="127">
        <f t="shared" si="6"/>
        <v>0.28408780615212925</v>
      </c>
      <c r="Z25" s="127">
        <v>0.28000000000000003</v>
      </c>
    </row>
    <row r="26" spans="1:26">
      <c r="A26" s="108">
        <v>9</v>
      </c>
      <c r="B26" s="109" t="s">
        <v>66</v>
      </c>
      <c r="C26" s="109" t="s">
        <v>67</v>
      </c>
      <c r="D26" s="109">
        <v>661</v>
      </c>
      <c r="E26" s="110">
        <v>659</v>
      </c>
      <c r="F26" s="39">
        <f t="shared" si="0"/>
        <v>384</v>
      </c>
      <c r="G26" s="111">
        <v>0.58270106221547802</v>
      </c>
      <c r="H26" s="108">
        <v>229</v>
      </c>
      <c r="I26" s="19">
        <f t="shared" si="1"/>
        <v>144</v>
      </c>
      <c r="J26" s="108">
        <v>31</v>
      </c>
      <c r="K26" s="108">
        <v>100</v>
      </c>
      <c r="L26" s="108">
        <v>12</v>
      </c>
      <c r="M26" s="108">
        <v>1</v>
      </c>
      <c r="N26" s="14">
        <v>0.59635416666666663</v>
      </c>
      <c r="O26" s="14">
        <f t="shared" si="2"/>
        <v>0.38541666666666669</v>
      </c>
      <c r="P26" s="14">
        <v>8.8541666666666671E-2</v>
      </c>
      <c r="Q26" s="14">
        <v>0.26302083333333331</v>
      </c>
      <c r="R26" s="14">
        <v>3.125E-2</v>
      </c>
      <c r="S26" s="14">
        <v>2.6041666666666665E-3</v>
      </c>
      <c r="T26" s="19">
        <f t="shared" si="3"/>
        <v>0.61270106221547804</v>
      </c>
      <c r="U26" s="19">
        <f t="shared" si="4"/>
        <v>404.995402124431</v>
      </c>
      <c r="V26" s="126">
        <v>125</v>
      </c>
      <c r="W26" s="126">
        <v>300</v>
      </c>
      <c r="X26" s="127">
        <f t="shared" si="5"/>
        <v>0.45385779122541603</v>
      </c>
      <c r="Y26" s="127">
        <f t="shared" si="6"/>
        <v>0.28388467374810333</v>
      </c>
      <c r="Z26" s="127">
        <v>0.28000000000000003</v>
      </c>
    </row>
    <row r="27" spans="1:26">
      <c r="A27" s="108">
        <v>3</v>
      </c>
      <c r="B27" s="109" t="s">
        <v>24</v>
      </c>
      <c r="C27" s="109" t="s">
        <v>52</v>
      </c>
      <c r="D27" s="109">
        <v>617</v>
      </c>
      <c r="E27" s="110">
        <v>638</v>
      </c>
      <c r="F27" s="39">
        <f t="shared" si="0"/>
        <v>313</v>
      </c>
      <c r="G27" s="111">
        <v>0.49059561128526646</v>
      </c>
      <c r="H27" s="108">
        <v>175</v>
      </c>
      <c r="I27" s="19">
        <f t="shared" si="1"/>
        <v>126</v>
      </c>
      <c r="J27" s="108">
        <v>28</v>
      </c>
      <c r="K27" s="108">
        <v>82</v>
      </c>
      <c r="L27" s="108">
        <v>16</v>
      </c>
      <c r="M27" s="108">
        <v>0</v>
      </c>
      <c r="N27" s="14">
        <v>0.5591054313099042</v>
      </c>
      <c r="O27" s="14">
        <f t="shared" si="2"/>
        <v>0.40894568690095845</v>
      </c>
      <c r="P27" s="14">
        <v>9.2651757188498399E-2</v>
      </c>
      <c r="Q27" s="14">
        <v>0.26517571884984026</v>
      </c>
      <c r="R27" s="14">
        <v>5.1118210862619806E-2</v>
      </c>
      <c r="S27" s="14">
        <v>0</v>
      </c>
      <c r="T27" s="19">
        <f t="shared" si="3"/>
        <v>0.52059561128526644</v>
      </c>
      <c r="U27" s="19">
        <f t="shared" si="4"/>
        <v>321.20749216300936</v>
      </c>
      <c r="V27" s="126">
        <v>115</v>
      </c>
      <c r="W27" s="126">
        <v>236</v>
      </c>
      <c r="X27" s="127">
        <f t="shared" si="5"/>
        <v>0.38249594813614263</v>
      </c>
      <c r="Y27" s="127">
        <f t="shared" si="6"/>
        <v>0.2826164922161416</v>
      </c>
      <c r="Z27" s="127">
        <v>0.28000000000000003</v>
      </c>
    </row>
    <row r="28" spans="1:26">
      <c r="A28" s="19">
        <v>58</v>
      </c>
      <c r="B28" s="3" t="s">
        <v>172</v>
      </c>
      <c r="C28" s="3" t="s">
        <v>173</v>
      </c>
      <c r="D28" s="3">
        <v>79</v>
      </c>
      <c r="E28" s="11">
        <v>79</v>
      </c>
      <c r="F28" s="39">
        <f t="shared" si="0"/>
        <v>50</v>
      </c>
      <c r="G28" s="14">
        <v>0.63291139240506333</v>
      </c>
      <c r="H28" s="19">
        <v>35</v>
      </c>
      <c r="I28" s="19">
        <f t="shared" si="1"/>
        <v>13</v>
      </c>
      <c r="J28" s="19">
        <v>1</v>
      </c>
      <c r="K28" s="19">
        <v>9</v>
      </c>
      <c r="L28" s="19">
        <v>0</v>
      </c>
      <c r="M28" s="19">
        <v>3</v>
      </c>
      <c r="N28" s="14">
        <v>0.7</v>
      </c>
      <c r="O28" s="14">
        <f t="shared" si="2"/>
        <v>0.26</v>
      </c>
      <c r="P28" s="14">
        <v>0.02</v>
      </c>
      <c r="Q28" s="14">
        <v>0.18</v>
      </c>
      <c r="R28" s="14">
        <v>0</v>
      </c>
      <c r="S28" s="14">
        <v>0.06</v>
      </c>
      <c r="T28" s="19">
        <f t="shared" si="3"/>
        <v>0.66291139240506336</v>
      </c>
      <c r="U28" s="19">
        <f t="shared" si="4"/>
        <v>52.370000000000005</v>
      </c>
      <c r="V28" s="126">
        <v>27</v>
      </c>
      <c r="W28" s="126">
        <v>39</v>
      </c>
      <c r="X28" s="127">
        <f t="shared" si="5"/>
        <v>0.49367088607594939</v>
      </c>
      <c r="Y28" s="127">
        <f t="shared" si="6"/>
        <v>0.28205128205128216</v>
      </c>
      <c r="Z28" s="127">
        <v>0.28000000000000003</v>
      </c>
    </row>
    <row r="29" spans="1:26">
      <c r="A29" s="112">
        <v>34</v>
      </c>
      <c r="B29" s="113" t="s">
        <v>17</v>
      </c>
      <c r="C29" s="113" t="s">
        <v>121</v>
      </c>
      <c r="D29" s="113">
        <v>372</v>
      </c>
      <c r="E29" s="114">
        <v>379</v>
      </c>
      <c r="F29" s="39">
        <f t="shared" si="0"/>
        <v>202</v>
      </c>
      <c r="G29" s="115">
        <v>0.53298153034300788</v>
      </c>
      <c r="H29" s="112">
        <v>147</v>
      </c>
      <c r="I29" s="19">
        <f t="shared" si="1"/>
        <v>47</v>
      </c>
      <c r="J29" s="112">
        <v>10</v>
      </c>
      <c r="K29" s="112">
        <v>32</v>
      </c>
      <c r="L29" s="112">
        <v>4</v>
      </c>
      <c r="M29" s="112">
        <v>1</v>
      </c>
      <c r="N29" s="14">
        <v>0.7277227722772277</v>
      </c>
      <c r="O29" s="14">
        <f t="shared" si="2"/>
        <v>0.23267326732673266</v>
      </c>
      <c r="P29" s="14">
        <v>5.4455445544554455E-2</v>
      </c>
      <c r="Q29" s="14">
        <v>0.15346534653465346</v>
      </c>
      <c r="R29" s="14">
        <v>1.9801980198019802E-2</v>
      </c>
      <c r="S29" s="14">
        <v>4.9504950495049506E-3</v>
      </c>
      <c r="T29" s="19">
        <f t="shared" si="3"/>
        <v>0.56298153034300791</v>
      </c>
      <c r="U29" s="19">
        <f t="shared" si="4"/>
        <v>209.42912928759895</v>
      </c>
      <c r="V29" s="126">
        <v>61</v>
      </c>
      <c r="W29" s="126">
        <v>155</v>
      </c>
      <c r="X29" s="127">
        <f t="shared" si="5"/>
        <v>0.41666666666666669</v>
      </c>
      <c r="Y29" s="127">
        <f t="shared" si="6"/>
        <v>0.27915567282321896</v>
      </c>
      <c r="Z29" s="127">
        <v>0.28000000000000003</v>
      </c>
    </row>
    <row r="30" spans="1:26">
      <c r="A30" s="121">
        <v>28</v>
      </c>
      <c r="B30" s="122" t="s">
        <v>29</v>
      </c>
      <c r="C30" s="122" t="s">
        <v>109</v>
      </c>
      <c r="D30" s="122">
        <v>344</v>
      </c>
      <c r="E30" s="123">
        <v>349</v>
      </c>
      <c r="F30" s="39">
        <f t="shared" si="0"/>
        <v>100</v>
      </c>
      <c r="G30" s="124">
        <v>0.28653295128939826</v>
      </c>
      <c r="H30" s="121">
        <v>94</v>
      </c>
      <c r="I30" s="19">
        <f t="shared" si="1"/>
        <v>5</v>
      </c>
      <c r="J30" s="112">
        <v>0</v>
      </c>
      <c r="K30" s="112">
        <v>4</v>
      </c>
      <c r="L30" s="112">
        <v>1</v>
      </c>
      <c r="M30" s="112">
        <v>0</v>
      </c>
      <c r="N30" s="14">
        <v>0.94</v>
      </c>
      <c r="O30" s="14">
        <f t="shared" si="2"/>
        <v>0.05</v>
      </c>
      <c r="P30" s="14">
        <v>0</v>
      </c>
      <c r="Q30" s="14">
        <v>0.04</v>
      </c>
      <c r="R30" s="14">
        <v>0.01</v>
      </c>
      <c r="S30" s="14">
        <v>0</v>
      </c>
      <c r="T30" s="19">
        <f t="shared" si="3"/>
        <v>0.33653295128939831</v>
      </c>
      <c r="U30" s="19">
        <f t="shared" si="4"/>
        <v>115.76733524355302</v>
      </c>
      <c r="V30" s="126">
        <v>30</v>
      </c>
      <c r="W30" s="126">
        <v>78</v>
      </c>
      <c r="X30" s="127">
        <f t="shared" si="5"/>
        <v>0.22674418604651161</v>
      </c>
      <c r="Y30" s="127">
        <f t="shared" si="6"/>
        <v>0.26368378517375657</v>
      </c>
      <c r="Z30" s="127">
        <v>0.26</v>
      </c>
    </row>
    <row r="31" spans="1:26">
      <c r="A31" s="116">
        <v>25</v>
      </c>
      <c r="B31" s="117" t="s">
        <v>12</v>
      </c>
      <c r="C31" s="117" t="s">
        <v>104</v>
      </c>
      <c r="D31" s="117">
        <v>205</v>
      </c>
      <c r="E31" s="118">
        <v>210</v>
      </c>
      <c r="F31" s="39">
        <f t="shared" si="0"/>
        <v>103</v>
      </c>
      <c r="G31" s="119">
        <v>0.49047619047619045</v>
      </c>
      <c r="H31" s="116">
        <v>95</v>
      </c>
      <c r="I31" s="19">
        <f t="shared" si="1"/>
        <v>7</v>
      </c>
      <c r="J31" s="116">
        <v>1</v>
      </c>
      <c r="K31" s="116">
        <v>3</v>
      </c>
      <c r="L31" s="116">
        <v>0</v>
      </c>
      <c r="M31" s="116">
        <v>3</v>
      </c>
      <c r="N31" s="14">
        <v>0.89320388349514568</v>
      </c>
      <c r="O31" s="14">
        <f t="shared" si="2"/>
        <v>6.7961165048543687E-2</v>
      </c>
      <c r="P31" s="14">
        <v>9.7087378640776691E-3</v>
      </c>
      <c r="Q31" s="14">
        <v>2.9126213592233011E-2</v>
      </c>
      <c r="R31" s="14">
        <v>0</v>
      </c>
      <c r="S31" s="14">
        <v>2.9126213592233011E-2</v>
      </c>
      <c r="T31" s="19">
        <f t="shared" si="3"/>
        <v>0.52047619047619043</v>
      </c>
      <c r="U31" s="19">
        <f t="shared" si="4"/>
        <v>106.69761904761904</v>
      </c>
      <c r="V31" s="126">
        <v>20</v>
      </c>
      <c r="W31" s="126">
        <v>80</v>
      </c>
      <c r="X31" s="127">
        <f t="shared" si="5"/>
        <v>0.3902439024390244</v>
      </c>
      <c r="Y31" s="127">
        <f t="shared" si="6"/>
        <v>0.25684523809523796</v>
      </c>
      <c r="Z31" s="127">
        <v>0.26</v>
      </c>
    </row>
    <row r="32" spans="1:26">
      <c r="A32" s="121">
        <v>45</v>
      </c>
      <c r="B32" s="122" t="s">
        <v>31</v>
      </c>
      <c r="C32" s="122" t="s">
        <v>35</v>
      </c>
      <c r="D32" s="122">
        <v>430</v>
      </c>
      <c r="E32" s="123">
        <v>435</v>
      </c>
      <c r="F32" s="39">
        <f t="shared" si="0"/>
        <v>126.00000000000001</v>
      </c>
      <c r="G32" s="124">
        <v>0.28965517241379313</v>
      </c>
      <c r="H32" s="121">
        <v>98</v>
      </c>
      <c r="I32" s="19">
        <f t="shared" si="1"/>
        <v>22</v>
      </c>
      <c r="J32" s="112">
        <v>9</v>
      </c>
      <c r="K32" s="112">
        <v>11</v>
      </c>
      <c r="L32" s="112">
        <v>1</v>
      </c>
      <c r="M32" s="112">
        <v>1</v>
      </c>
      <c r="N32" s="14">
        <v>0.77777777777777779</v>
      </c>
      <c r="O32" s="14">
        <f t="shared" si="2"/>
        <v>0.17460317460317459</v>
      </c>
      <c r="P32" s="14">
        <v>7.1428571428571425E-2</v>
      </c>
      <c r="Q32" s="14">
        <v>8.7301587301587297E-2</v>
      </c>
      <c r="R32" s="14">
        <v>7.9365079365079361E-3</v>
      </c>
      <c r="S32" s="14">
        <v>7.9365079365079361E-3</v>
      </c>
      <c r="T32" s="19">
        <f t="shared" si="3"/>
        <v>0.33965517241379317</v>
      </c>
      <c r="U32" s="19">
        <f t="shared" si="4"/>
        <v>146.05172413793107</v>
      </c>
      <c r="V32" s="126">
        <v>45</v>
      </c>
      <c r="W32" s="126">
        <v>101</v>
      </c>
      <c r="X32" s="127">
        <f t="shared" si="5"/>
        <v>0.23488372093023255</v>
      </c>
      <c r="Y32" s="127">
        <f t="shared" si="6"/>
        <v>0.23318538750426776</v>
      </c>
      <c r="Z32" s="127">
        <v>0.23</v>
      </c>
    </row>
    <row r="33" spans="1:26">
      <c r="A33" s="112">
        <v>63</v>
      </c>
      <c r="B33" s="113" t="s">
        <v>17</v>
      </c>
      <c r="C33" s="113" t="s">
        <v>182</v>
      </c>
      <c r="D33" s="113">
        <v>525</v>
      </c>
      <c r="E33" s="114">
        <v>523</v>
      </c>
      <c r="F33" s="39">
        <f t="shared" si="0"/>
        <v>238</v>
      </c>
      <c r="G33" s="115">
        <v>0.45506692160611856</v>
      </c>
      <c r="H33" s="112">
        <v>213</v>
      </c>
      <c r="I33" s="19">
        <f t="shared" si="1"/>
        <v>19</v>
      </c>
      <c r="J33" s="112">
        <v>8</v>
      </c>
      <c r="K33" s="112">
        <v>7</v>
      </c>
      <c r="L33" s="112">
        <v>2</v>
      </c>
      <c r="M33" s="112">
        <v>2</v>
      </c>
      <c r="N33" s="14">
        <v>0.89495798319327735</v>
      </c>
      <c r="O33" s="14">
        <f t="shared" si="2"/>
        <v>7.9831932773109238E-2</v>
      </c>
      <c r="P33" s="14">
        <v>3.3613445378151259E-2</v>
      </c>
      <c r="Q33" s="14">
        <v>2.9411764705882353E-2</v>
      </c>
      <c r="R33" s="14">
        <v>8.4033613445378148E-3</v>
      </c>
      <c r="S33" s="14">
        <v>8.4033613445378148E-3</v>
      </c>
      <c r="T33" s="19">
        <f t="shared" si="3"/>
        <v>0.48506692160611853</v>
      </c>
      <c r="U33" s="19">
        <f t="shared" si="4"/>
        <v>254.66013384321224</v>
      </c>
      <c r="V33" s="126">
        <v>135</v>
      </c>
      <c r="W33" s="126">
        <v>194</v>
      </c>
      <c r="X33" s="127">
        <f t="shared" si="5"/>
        <v>0.36952380952380953</v>
      </c>
      <c r="Y33" s="127">
        <f t="shared" si="6"/>
        <v>0.23149553527428979</v>
      </c>
      <c r="Z33" s="127">
        <v>0.23</v>
      </c>
    </row>
    <row r="34" spans="1:26">
      <c r="A34" s="116">
        <v>70</v>
      </c>
      <c r="B34" s="117" t="s">
        <v>12</v>
      </c>
      <c r="C34" s="117" t="s">
        <v>195</v>
      </c>
      <c r="D34" s="117">
        <v>303</v>
      </c>
      <c r="E34" s="118">
        <v>316</v>
      </c>
      <c r="F34" s="39">
        <f t="shared" ref="F34:F65" si="7">E34*G34</f>
        <v>181.00000000000003</v>
      </c>
      <c r="G34" s="119">
        <v>0.57278481012658233</v>
      </c>
      <c r="H34" s="116">
        <v>134</v>
      </c>
      <c r="I34" s="19">
        <f t="shared" ref="I34:I65" si="8">SUM(J34:M34)</f>
        <v>18</v>
      </c>
      <c r="J34" s="116">
        <v>2</v>
      </c>
      <c r="K34" s="116">
        <v>14</v>
      </c>
      <c r="L34" s="116">
        <v>1</v>
      </c>
      <c r="M34" s="116">
        <v>1</v>
      </c>
      <c r="N34" s="14">
        <v>0.83233532934131738</v>
      </c>
      <c r="O34" s="14">
        <f t="shared" ref="O34:O65" si="9">SUM(P34:S34)</f>
        <v>0.10778443113772457</v>
      </c>
      <c r="P34" s="14">
        <v>1.7964071856287425E-2</v>
      </c>
      <c r="Q34" s="14">
        <v>7.7844311377245512E-2</v>
      </c>
      <c r="R34" s="14">
        <v>5.9880239520958087E-3</v>
      </c>
      <c r="S34" s="14">
        <v>5.9880239520958087E-3</v>
      </c>
      <c r="T34" s="19">
        <f t="shared" ref="T34:T65" si="10">IF(G34&gt;65%, G34, IF(G34&gt;=45%, (100*G34+3)%, (100*G34+5)%))</f>
        <v>0.60278481012658236</v>
      </c>
      <c r="U34" s="19">
        <f t="shared" ref="U34:U65" si="11">T34*D34</f>
        <v>182.64379746835445</v>
      </c>
      <c r="V34" s="126">
        <v>60</v>
      </c>
      <c r="W34" s="126">
        <v>141</v>
      </c>
      <c r="X34" s="127">
        <f t="shared" ref="X34:X65" si="12">(W34/D34)</f>
        <v>0.46534653465346537</v>
      </c>
      <c r="Y34" s="127">
        <f t="shared" ref="Y34:Y65" si="13">G34/X34-1</f>
        <v>0.23087799622946403</v>
      </c>
      <c r="Z34" s="127">
        <v>0.23</v>
      </c>
    </row>
    <row r="35" spans="1:26">
      <c r="A35" s="19">
        <v>19</v>
      </c>
      <c r="B35" s="3" t="s">
        <v>93</v>
      </c>
      <c r="C35" s="3" t="s">
        <v>43</v>
      </c>
      <c r="D35" s="3">
        <v>136</v>
      </c>
      <c r="E35" s="11">
        <v>144</v>
      </c>
      <c r="F35" s="39">
        <f t="shared" si="7"/>
        <v>79</v>
      </c>
      <c r="G35" s="14">
        <v>0.54861111111111116</v>
      </c>
      <c r="H35" s="19">
        <v>62</v>
      </c>
      <c r="I35" s="19">
        <f t="shared" si="8"/>
        <v>16</v>
      </c>
      <c r="J35" s="19">
        <v>2</v>
      </c>
      <c r="K35" s="19">
        <v>8</v>
      </c>
      <c r="L35" s="19">
        <v>6</v>
      </c>
      <c r="M35" s="19">
        <v>0</v>
      </c>
      <c r="N35" s="14">
        <v>0.78481012658227844</v>
      </c>
      <c r="O35" s="14">
        <f t="shared" si="9"/>
        <v>0.20253164556962028</v>
      </c>
      <c r="P35" s="14">
        <v>2.5316455696202531E-2</v>
      </c>
      <c r="Q35" s="14">
        <v>0.10126582278481013</v>
      </c>
      <c r="R35" s="14">
        <v>7.5949367088607597E-2</v>
      </c>
      <c r="S35" s="14">
        <v>0</v>
      </c>
      <c r="T35" s="19">
        <f t="shared" si="10"/>
        <v>0.57861111111111119</v>
      </c>
      <c r="U35" s="19">
        <f t="shared" si="11"/>
        <v>78.691111111111127</v>
      </c>
      <c r="V35" s="126">
        <v>27</v>
      </c>
      <c r="W35" s="126">
        <v>61</v>
      </c>
      <c r="X35" s="127">
        <f t="shared" si="12"/>
        <v>0.4485294117647059</v>
      </c>
      <c r="Y35" s="127">
        <f t="shared" si="13"/>
        <v>0.22313296903460844</v>
      </c>
      <c r="Z35" s="127">
        <v>0.22</v>
      </c>
    </row>
    <row r="36" spans="1:26">
      <c r="A36" s="116">
        <v>39</v>
      </c>
      <c r="B36" s="117" t="s">
        <v>132</v>
      </c>
      <c r="C36" s="117" t="s">
        <v>133</v>
      </c>
      <c r="D36" s="117">
        <v>286</v>
      </c>
      <c r="E36" s="118">
        <v>288</v>
      </c>
      <c r="F36" s="39">
        <f t="shared" si="7"/>
        <v>125</v>
      </c>
      <c r="G36" s="119">
        <v>0.43402777777777779</v>
      </c>
      <c r="H36" s="116">
        <v>100</v>
      </c>
      <c r="I36" s="19">
        <f t="shared" si="8"/>
        <v>20</v>
      </c>
      <c r="J36" s="116">
        <v>6</v>
      </c>
      <c r="K36" s="116">
        <v>12</v>
      </c>
      <c r="L36" s="116">
        <v>1</v>
      </c>
      <c r="M36" s="116">
        <v>1</v>
      </c>
      <c r="N36" s="14">
        <v>0.83941605839416056</v>
      </c>
      <c r="O36" s="14">
        <f t="shared" si="9"/>
        <v>0.145985401459854</v>
      </c>
      <c r="P36" s="14">
        <v>4.3795620437956206E-2</v>
      </c>
      <c r="Q36" s="14">
        <v>8.7591240875912413E-2</v>
      </c>
      <c r="R36" s="14">
        <v>7.2992700729927005E-3</v>
      </c>
      <c r="S36" s="14">
        <v>7.2992700729927005E-3</v>
      </c>
      <c r="T36" s="19">
        <f t="shared" si="10"/>
        <v>0.48402777777777778</v>
      </c>
      <c r="U36" s="19">
        <f t="shared" si="11"/>
        <v>138.43194444444444</v>
      </c>
      <c r="V36" s="126">
        <v>65</v>
      </c>
      <c r="W36" s="126">
        <v>102</v>
      </c>
      <c r="X36" s="127">
        <f t="shared" si="12"/>
        <v>0.35664335664335667</v>
      </c>
      <c r="Y36" s="127">
        <f t="shared" si="13"/>
        <v>0.21697984749455324</v>
      </c>
      <c r="Z36" s="127">
        <v>0.22</v>
      </c>
    </row>
    <row r="37" spans="1:26">
      <c r="A37" s="108">
        <v>13</v>
      </c>
      <c r="B37" s="109" t="s">
        <v>76</v>
      </c>
      <c r="C37" s="109" t="s">
        <v>77</v>
      </c>
      <c r="D37" s="109">
        <v>638</v>
      </c>
      <c r="E37" s="110">
        <v>660</v>
      </c>
      <c r="F37" s="39">
        <f t="shared" si="7"/>
        <v>320</v>
      </c>
      <c r="G37" s="111">
        <v>0.48484848484848486</v>
      </c>
      <c r="H37" s="108">
        <v>182</v>
      </c>
      <c r="I37" s="19">
        <f t="shared" si="8"/>
        <v>127</v>
      </c>
      <c r="J37" s="108">
        <v>23</v>
      </c>
      <c r="K37" s="108">
        <v>87</v>
      </c>
      <c r="L37" s="108">
        <v>12</v>
      </c>
      <c r="M37" s="108">
        <v>5</v>
      </c>
      <c r="N37" s="14">
        <v>0.56874999999999998</v>
      </c>
      <c r="O37" s="14">
        <f t="shared" si="9"/>
        <v>0.40312500000000001</v>
      </c>
      <c r="P37" s="14">
        <v>7.4999999999999997E-2</v>
      </c>
      <c r="Q37" s="14">
        <v>0.27500000000000002</v>
      </c>
      <c r="R37" s="14">
        <v>3.7499999999999999E-2</v>
      </c>
      <c r="S37" s="14">
        <v>1.5625E-2</v>
      </c>
      <c r="T37" s="19">
        <f t="shared" si="10"/>
        <v>0.51484848484848489</v>
      </c>
      <c r="U37" s="19">
        <f t="shared" si="11"/>
        <v>328.47333333333336</v>
      </c>
      <c r="V37" s="126">
        <v>108</v>
      </c>
      <c r="W37" s="126">
        <v>255</v>
      </c>
      <c r="X37" s="127">
        <f t="shared" si="12"/>
        <v>0.39968652037617552</v>
      </c>
      <c r="Y37" s="127">
        <f t="shared" si="13"/>
        <v>0.21307189542483673</v>
      </c>
      <c r="Z37" s="127">
        <v>0.21</v>
      </c>
    </row>
    <row r="38" spans="1:26">
      <c r="A38" s="112">
        <v>6</v>
      </c>
      <c r="B38" s="113" t="s">
        <v>36</v>
      </c>
      <c r="C38" s="113" t="s">
        <v>59</v>
      </c>
      <c r="D38" s="113">
        <v>526</v>
      </c>
      <c r="E38" s="114">
        <v>528</v>
      </c>
      <c r="F38" s="39">
        <f t="shared" si="7"/>
        <v>293</v>
      </c>
      <c r="G38" s="115">
        <v>0.55492424242424243</v>
      </c>
      <c r="H38" s="112">
        <v>192</v>
      </c>
      <c r="I38" s="19">
        <f t="shared" si="8"/>
        <v>89</v>
      </c>
      <c r="J38" s="112">
        <v>9</v>
      </c>
      <c r="K38" s="112">
        <v>63</v>
      </c>
      <c r="L38" s="112">
        <v>15</v>
      </c>
      <c r="M38" s="112">
        <v>2</v>
      </c>
      <c r="N38" s="14">
        <v>0.65529010238907848</v>
      </c>
      <c r="O38" s="14">
        <f t="shared" si="9"/>
        <v>0.30375426621160406</v>
      </c>
      <c r="P38" s="14">
        <v>3.7542662116040959E-2</v>
      </c>
      <c r="Q38" s="14">
        <v>0.20819112627986347</v>
      </c>
      <c r="R38" s="14">
        <v>5.1194539249146756E-2</v>
      </c>
      <c r="S38" s="14">
        <v>6.8259385665529011E-3</v>
      </c>
      <c r="T38" s="19">
        <f t="shared" si="10"/>
        <v>0.58492424242424246</v>
      </c>
      <c r="U38" s="19">
        <f t="shared" si="11"/>
        <v>307.67015151515153</v>
      </c>
      <c r="V38" s="126">
        <v>130</v>
      </c>
      <c r="W38" s="126">
        <v>242</v>
      </c>
      <c r="X38" s="127">
        <f t="shared" si="12"/>
        <v>0.46007604562737642</v>
      </c>
      <c r="Y38" s="127">
        <f t="shared" si="13"/>
        <v>0.20615765088905591</v>
      </c>
      <c r="Z38" s="127">
        <v>0.21</v>
      </c>
    </row>
    <row r="39" spans="1:26">
      <c r="A39" s="108">
        <v>4</v>
      </c>
      <c r="B39" s="109" t="s">
        <v>54</v>
      </c>
      <c r="C39" s="109" t="s">
        <v>55</v>
      </c>
      <c r="D39" s="109">
        <v>609</v>
      </c>
      <c r="E39" s="110">
        <v>613</v>
      </c>
      <c r="F39" s="39">
        <f t="shared" si="7"/>
        <v>291</v>
      </c>
      <c r="G39" s="111">
        <v>0.47471451876019577</v>
      </c>
      <c r="H39" s="108">
        <v>176</v>
      </c>
      <c r="I39" s="19">
        <f t="shared" si="8"/>
        <v>107</v>
      </c>
      <c r="J39" s="108">
        <v>9</v>
      </c>
      <c r="K39" s="108">
        <v>82</v>
      </c>
      <c r="L39" s="108">
        <v>16</v>
      </c>
      <c r="M39" s="108">
        <v>0</v>
      </c>
      <c r="N39" s="14">
        <v>0.60481099656357384</v>
      </c>
      <c r="O39" s="14">
        <f t="shared" si="9"/>
        <v>0.38144329896907214</v>
      </c>
      <c r="P39" s="14">
        <v>4.8109965635738834E-2</v>
      </c>
      <c r="Q39" s="14">
        <v>0.27835051546391754</v>
      </c>
      <c r="R39" s="14">
        <v>5.4982817869415807E-2</v>
      </c>
      <c r="S39" s="14">
        <v>0</v>
      </c>
      <c r="T39" s="19">
        <f t="shared" si="10"/>
        <v>0.5047145187601958</v>
      </c>
      <c r="U39" s="19">
        <f t="shared" si="11"/>
        <v>307.37114192495926</v>
      </c>
      <c r="V39" s="126">
        <v>133</v>
      </c>
      <c r="W39" s="126">
        <v>240</v>
      </c>
      <c r="X39" s="127">
        <f t="shared" si="12"/>
        <v>0.39408866995073893</v>
      </c>
      <c r="Y39" s="127">
        <f t="shared" si="13"/>
        <v>0.2045880913539968</v>
      </c>
      <c r="Z39" s="127">
        <v>0.2</v>
      </c>
    </row>
    <row r="40" spans="1:26">
      <c r="A40" s="108">
        <v>72</v>
      </c>
      <c r="B40" s="109" t="s">
        <v>28</v>
      </c>
      <c r="C40" s="109" t="s">
        <v>200</v>
      </c>
      <c r="D40" s="109">
        <v>638</v>
      </c>
      <c r="E40" s="110">
        <v>633</v>
      </c>
      <c r="F40" s="39">
        <f t="shared" si="7"/>
        <v>297</v>
      </c>
      <c r="G40" s="111">
        <v>0.46919431279620855</v>
      </c>
      <c r="H40" s="108">
        <v>229</v>
      </c>
      <c r="I40" s="19">
        <f t="shared" si="8"/>
        <v>61</v>
      </c>
      <c r="J40" s="108">
        <v>23</v>
      </c>
      <c r="K40" s="108">
        <v>30</v>
      </c>
      <c r="L40" s="108">
        <v>5</v>
      </c>
      <c r="M40" s="108">
        <v>3</v>
      </c>
      <c r="N40" s="14">
        <v>0.77104377104377109</v>
      </c>
      <c r="O40" s="14">
        <f t="shared" si="9"/>
        <v>0.2053872053872054</v>
      </c>
      <c r="P40" s="14">
        <v>7.7441077441077436E-2</v>
      </c>
      <c r="Q40" s="14">
        <v>0.10101010101010101</v>
      </c>
      <c r="R40" s="14">
        <v>1.6835016835016835E-2</v>
      </c>
      <c r="S40" s="14">
        <v>1.0101010101010102E-2</v>
      </c>
      <c r="T40" s="19">
        <f t="shared" si="10"/>
        <v>0.49919431279620852</v>
      </c>
      <c r="U40" s="19">
        <f t="shared" si="11"/>
        <v>318.48597156398102</v>
      </c>
      <c r="V40" s="126">
        <v>92</v>
      </c>
      <c r="W40" s="126">
        <v>252</v>
      </c>
      <c r="X40" s="127">
        <f t="shared" si="12"/>
        <v>0.39498432601880878</v>
      </c>
      <c r="Y40" s="127">
        <f t="shared" si="13"/>
        <v>0.18788083953960744</v>
      </c>
      <c r="Z40" s="127">
        <v>0.19</v>
      </c>
    </row>
    <row r="41" spans="1:26">
      <c r="A41" s="112">
        <v>50</v>
      </c>
      <c r="B41" s="113" t="s">
        <v>155</v>
      </c>
      <c r="C41" s="113" t="s">
        <v>156</v>
      </c>
      <c r="D41" s="113">
        <v>439</v>
      </c>
      <c r="E41" s="114">
        <v>426</v>
      </c>
      <c r="F41" s="39">
        <f t="shared" si="7"/>
        <v>207</v>
      </c>
      <c r="G41" s="115">
        <v>0.4859154929577465</v>
      </c>
      <c r="H41" s="112">
        <v>176</v>
      </c>
      <c r="I41" s="19">
        <f t="shared" si="8"/>
        <v>29</v>
      </c>
      <c r="J41" s="112">
        <v>6</v>
      </c>
      <c r="K41" s="112">
        <v>18</v>
      </c>
      <c r="L41" s="112">
        <v>3</v>
      </c>
      <c r="M41" s="112">
        <v>2</v>
      </c>
      <c r="N41" s="14">
        <v>0.85024154589371981</v>
      </c>
      <c r="O41" s="14">
        <f t="shared" si="9"/>
        <v>0.14009661835748791</v>
      </c>
      <c r="P41" s="14">
        <v>2.8985507246376812E-2</v>
      </c>
      <c r="Q41" s="14">
        <v>8.6956521739130432E-2</v>
      </c>
      <c r="R41" s="14">
        <v>1.4492753623188406E-2</v>
      </c>
      <c r="S41" s="14">
        <v>9.6618357487922701E-3</v>
      </c>
      <c r="T41" s="19">
        <f t="shared" si="10"/>
        <v>0.51591549295774652</v>
      </c>
      <c r="U41" s="19">
        <f t="shared" si="11"/>
        <v>226.48690140845073</v>
      </c>
      <c r="V41" s="126">
        <v>93</v>
      </c>
      <c r="W41" s="126">
        <v>180</v>
      </c>
      <c r="X41" s="127">
        <f t="shared" si="12"/>
        <v>0.41002277904328016</v>
      </c>
      <c r="Y41" s="127">
        <f t="shared" si="13"/>
        <v>0.18509389671361509</v>
      </c>
      <c r="Z41" s="127">
        <v>0.19</v>
      </c>
    </row>
    <row r="42" spans="1:26">
      <c r="A42" s="19">
        <v>56</v>
      </c>
      <c r="B42" s="3" t="s">
        <v>30</v>
      </c>
      <c r="C42" s="3" t="s">
        <v>167</v>
      </c>
      <c r="D42" s="3">
        <v>168</v>
      </c>
      <c r="E42" s="11">
        <v>177</v>
      </c>
      <c r="F42" s="39">
        <f t="shared" si="7"/>
        <v>111</v>
      </c>
      <c r="G42" s="14">
        <v>0.6271186440677966</v>
      </c>
      <c r="H42" s="19">
        <v>74</v>
      </c>
      <c r="I42" s="19">
        <f t="shared" si="8"/>
        <v>34</v>
      </c>
      <c r="J42" s="19">
        <v>6</v>
      </c>
      <c r="K42" s="19">
        <v>25</v>
      </c>
      <c r="L42" s="19">
        <v>2</v>
      </c>
      <c r="M42" s="19">
        <v>1</v>
      </c>
      <c r="N42" s="14">
        <v>0.66666666666666663</v>
      </c>
      <c r="O42" s="14">
        <f t="shared" si="9"/>
        <v>0.32432432432432429</v>
      </c>
      <c r="P42" s="14">
        <v>6.3063063063063057E-2</v>
      </c>
      <c r="Q42" s="14">
        <v>0.23423423423423423</v>
      </c>
      <c r="R42" s="14">
        <v>1.8018018018018018E-2</v>
      </c>
      <c r="S42" s="14">
        <v>9.0090090090090089E-3</v>
      </c>
      <c r="T42" s="19">
        <f t="shared" si="10"/>
        <v>0.65711864406779652</v>
      </c>
      <c r="U42" s="19">
        <f t="shared" si="11"/>
        <v>110.39593220338982</v>
      </c>
      <c r="V42" s="126">
        <v>29</v>
      </c>
      <c r="W42" s="126">
        <v>89</v>
      </c>
      <c r="X42" s="127">
        <f t="shared" si="12"/>
        <v>0.52976190476190477</v>
      </c>
      <c r="Y42" s="127">
        <f t="shared" si="13"/>
        <v>0.1837745191392115</v>
      </c>
      <c r="Z42" s="127">
        <v>0.18</v>
      </c>
    </row>
    <row r="43" spans="1:26">
      <c r="A43" s="121">
        <v>32</v>
      </c>
      <c r="B43" s="122" t="s">
        <v>117</v>
      </c>
      <c r="C43" s="122" t="s">
        <v>115</v>
      </c>
      <c r="D43" s="122">
        <v>537</v>
      </c>
      <c r="E43" s="123">
        <v>515</v>
      </c>
      <c r="F43" s="39">
        <f t="shared" si="7"/>
        <v>186</v>
      </c>
      <c r="G43" s="124">
        <v>0.3611650485436893</v>
      </c>
      <c r="H43" s="121">
        <v>161</v>
      </c>
      <c r="I43" s="19">
        <f t="shared" si="8"/>
        <v>19</v>
      </c>
      <c r="J43" s="112">
        <v>7</v>
      </c>
      <c r="K43" s="112">
        <v>11</v>
      </c>
      <c r="L43" s="112">
        <v>1</v>
      </c>
      <c r="M43" s="112">
        <v>0</v>
      </c>
      <c r="N43" s="14">
        <v>0.86559139784946237</v>
      </c>
      <c r="O43" s="14">
        <f t="shared" si="9"/>
        <v>0.10215053763440859</v>
      </c>
      <c r="P43" s="14">
        <v>3.7634408602150539E-2</v>
      </c>
      <c r="Q43" s="14">
        <v>5.9139784946236562E-2</v>
      </c>
      <c r="R43" s="14">
        <v>5.3763440860215058E-3</v>
      </c>
      <c r="S43" s="14">
        <v>0</v>
      </c>
      <c r="T43" s="19">
        <f t="shared" si="10"/>
        <v>0.41116504854368935</v>
      </c>
      <c r="U43" s="19">
        <f t="shared" si="11"/>
        <v>220.79563106796118</v>
      </c>
      <c r="V43" s="126">
        <v>104</v>
      </c>
      <c r="W43" s="126">
        <v>165</v>
      </c>
      <c r="X43" s="127">
        <f t="shared" si="12"/>
        <v>0.30726256983240224</v>
      </c>
      <c r="Y43" s="127">
        <f t="shared" si="13"/>
        <v>0.17542806707855241</v>
      </c>
      <c r="Z43" s="127">
        <v>0.18</v>
      </c>
    </row>
    <row r="44" spans="1:26">
      <c r="A44" s="108">
        <v>14</v>
      </c>
      <c r="B44" s="109" t="s">
        <v>79</v>
      </c>
      <c r="C44" s="109" t="s">
        <v>80</v>
      </c>
      <c r="D44" s="109">
        <v>635</v>
      </c>
      <c r="E44" s="110">
        <v>617</v>
      </c>
      <c r="F44" s="39">
        <f t="shared" si="7"/>
        <v>310</v>
      </c>
      <c r="G44" s="111">
        <v>0.50243111831442466</v>
      </c>
      <c r="H44" s="108">
        <v>192</v>
      </c>
      <c r="I44" s="19">
        <f t="shared" si="8"/>
        <v>113</v>
      </c>
      <c r="J44" s="108">
        <v>10</v>
      </c>
      <c r="K44" s="108">
        <v>86</v>
      </c>
      <c r="L44" s="108">
        <v>14</v>
      </c>
      <c r="M44" s="108">
        <v>3</v>
      </c>
      <c r="N44" s="14">
        <v>0.61935483870967745</v>
      </c>
      <c r="O44" s="14">
        <f t="shared" si="9"/>
        <v>0.36774193548387096</v>
      </c>
      <c r="P44" s="14">
        <v>3.2258064516129031E-2</v>
      </c>
      <c r="Q44" s="14">
        <v>0.28064516129032258</v>
      </c>
      <c r="R44" s="14">
        <v>4.5161290322580643E-2</v>
      </c>
      <c r="S44" s="14">
        <v>9.6774193548387101E-3</v>
      </c>
      <c r="T44" s="19">
        <f t="shared" si="10"/>
        <v>0.53243111831442469</v>
      </c>
      <c r="U44" s="19">
        <f t="shared" si="11"/>
        <v>338.0937601296597</v>
      </c>
      <c r="V44" s="126">
        <v>45</v>
      </c>
      <c r="W44" s="126">
        <v>272</v>
      </c>
      <c r="X44" s="127">
        <f t="shared" si="12"/>
        <v>0.42834645669291338</v>
      </c>
      <c r="Y44" s="127">
        <f t="shared" si="13"/>
        <v>0.17295500047668999</v>
      </c>
      <c r="Z44" s="127">
        <v>0.17</v>
      </c>
    </row>
    <row r="45" spans="1:26">
      <c r="A45" s="100">
        <v>12</v>
      </c>
      <c r="B45" s="101" t="s">
        <v>74</v>
      </c>
      <c r="C45" s="101" t="s">
        <v>67</v>
      </c>
      <c r="D45" s="101">
        <v>999</v>
      </c>
      <c r="E45" s="102">
        <v>1062</v>
      </c>
      <c r="F45" s="39">
        <f t="shared" si="7"/>
        <v>552</v>
      </c>
      <c r="G45" s="103">
        <v>0.51977401129943501</v>
      </c>
      <c r="H45" s="100">
        <v>326</v>
      </c>
      <c r="I45" s="19">
        <f t="shared" si="8"/>
        <v>208</v>
      </c>
      <c r="J45" s="100">
        <v>34</v>
      </c>
      <c r="K45" s="100">
        <v>147</v>
      </c>
      <c r="L45" s="100">
        <v>26</v>
      </c>
      <c r="M45" s="100">
        <v>1</v>
      </c>
      <c r="N45" s="14">
        <v>0.59057971014492749</v>
      </c>
      <c r="O45" s="14">
        <f t="shared" si="9"/>
        <v>0.38043478260869562</v>
      </c>
      <c r="P45" s="14">
        <v>7.0652173913043473E-2</v>
      </c>
      <c r="Q45" s="14">
        <v>0.2608695652173913</v>
      </c>
      <c r="R45" s="14">
        <v>4.710144927536232E-2</v>
      </c>
      <c r="S45" s="14">
        <v>1.8115942028985507E-3</v>
      </c>
      <c r="T45" s="19">
        <f t="shared" si="10"/>
        <v>0.54977401129943504</v>
      </c>
      <c r="U45" s="19">
        <f t="shared" si="11"/>
        <v>549.22423728813555</v>
      </c>
      <c r="V45" s="126">
        <v>154</v>
      </c>
      <c r="W45" s="126">
        <v>445</v>
      </c>
      <c r="X45" s="127">
        <f t="shared" si="12"/>
        <v>0.44544544544544545</v>
      </c>
      <c r="Y45" s="127">
        <f t="shared" si="13"/>
        <v>0.16686345458008001</v>
      </c>
      <c r="Z45" s="127">
        <v>0.17</v>
      </c>
    </row>
    <row r="46" spans="1:26">
      <c r="A46" s="108">
        <v>38</v>
      </c>
      <c r="B46" s="109" t="s">
        <v>130</v>
      </c>
      <c r="C46" s="109" t="s">
        <v>126</v>
      </c>
      <c r="D46" s="109">
        <v>645</v>
      </c>
      <c r="E46" s="110">
        <v>600</v>
      </c>
      <c r="F46" s="39">
        <f t="shared" si="7"/>
        <v>189</v>
      </c>
      <c r="G46" s="111">
        <v>0.315</v>
      </c>
      <c r="H46" s="108">
        <v>146</v>
      </c>
      <c r="I46" s="19">
        <f t="shared" si="8"/>
        <v>37</v>
      </c>
      <c r="J46" s="108">
        <v>7</v>
      </c>
      <c r="K46" s="108">
        <v>27</v>
      </c>
      <c r="L46" s="108">
        <v>2</v>
      </c>
      <c r="M46" s="108">
        <v>1</v>
      </c>
      <c r="N46" s="14">
        <v>0.77248677248677244</v>
      </c>
      <c r="O46" s="14">
        <f t="shared" si="9"/>
        <v>0.19576719576719576</v>
      </c>
      <c r="P46" s="14">
        <v>4.2328042328042326E-2</v>
      </c>
      <c r="Q46" s="14">
        <v>0.13756613756613756</v>
      </c>
      <c r="R46" s="14">
        <v>1.0582010582010581E-2</v>
      </c>
      <c r="S46" s="14">
        <v>5.2910052910052907E-3</v>
      </c>
      <c r="T46" s="19">
        <f t="shared" si="10"/>
        <v>0.36499999999999999</v>
      </c>
      <c r="U46" s="19">
        <f t="shared" si="11"/>
        <v>235.42499999999998</v>
      </c>
      <c r="V46" s="126">
        <v>109</v>
      </c>
      <c r="W46" s="126">
        <v>175</v>
      </c>
      <c r="X46" s="127">
        <f t="shared" si="12"/>
        <v>0.27131782945736432</v>
      </c>
      <c r="Y46" s="127">
        <f t="shared" si="13"/>
        <v>0.16100000000000003</v>
      </c>
      <c r="Z46" s="127">
        <v>0.16</v>
      </c>
    </row>
    <row r="47" spans="1:26">
      <c r="A47" s="104">
        <v>5</v>
      </c>
      <c r="B47" s="105" t="s">
        <v>57</v>
      </c>
      <c r="C47" s="105" t="s">
        <v>44</v>
      </c>
      <c r="D47" s="105">
        <v>722</v>
      </c>
      <c r="E47" s="106">
        <v>727</v>
      </c>
      <c r="F47" s="39">
        <f t="shared" si="7"/>
        <v>354</v>
      </c>
      <c r="G47" s="107">
        <v>0.48693259972489683</v>
      </c>
      <c r="H47" s="104">
        <v>220</v>
      </c>
      <c r="I47" s="19">
        <f t="shared" si="8"/>
        <v>117</v>
      </c>
      <c r="J47" s="104">
        <v>23</v>
      </c>
      <c r="K47" s="104">
        <v>78</v>
      </c>
      <c r="L47" s="104">
        <v>12</v>
      </c>
      <c r="M47" s="104">
        <v>4</v>
      </c>
      <c r="N47" s="14">
        <v>0.62146892655367236</v>
      </c>
      <c r="O47" s="14">
        <f t="shared" si="9"/>
        <v>0.34180790960451979</v>
      </c>
      <c r="P47" s="14">
        <v>6.7796610169491525E-2</v>
      </c>
      <c r="Q47" s="14">
        <v>0.2288135593220339</v>
      </c>
      <c r="R47" s="14">
        <v>3.3898305084745763E-2</v>
      </c>
      <c r="S47" s="14">
        <v>1.1299435028248588E-2</v>
      </c>
      <c r="T47" s="19">
        <f t="shared" si="10"/>
        <v>0.5169325997248968</v>
      </c>
      <c r="U47" s="19">
        <f t="shared" si="11"/>
        <v>373.22533700137546</v>
      </c>
      <c r="V47" s="126">
        <v>130</v>
      </c>
      <c r="W47" s="126">
        <v>303</v>
      </c>
      <c r="X47" s="127">
        <f t="shared" si="12"/>
        <v>0.41966759002770082</v>
      </c>
      <c r="Y47" s="127">
        <f t="shared" si="13"/>
        <v>0.16028164026856606</v>
      </c>
      <c r="Z47" s="127">
        <v>0.16</v>
      </c>
    </row>
    <row r="48" spans="1:26">
      <c r="A48" s="121">
        <v>43</v>
      </c>
      <c r="B48" s="122" t="s">
        <v>141</v>
      </c>
      <c r="C48" s="122" t="s">
        <v>40</v>
      </c>
      <c r="D48" s="122">
        <v>538</v>
      </c>
      <c r="E48" s="123">
        <v>544</v>
      </c>
      <c r="F48" s="39">
        <f t="shared" si="7"/>
        <v>226</v>
      </c>
      <c r="G48" s="124">
        <v>0.41544117647058826</v>
      </c>
      <c r="H48" s="121">
        <v>184</v>
      </c>
      <c r="I48" s="19">
        <f t="shared" si="8"/>
        <v>35</v>
      </c>
      <c r="J48" s="112">
        <v>9</v>
      </c>
      <c r="K48" s="112">
        <v>23</v>
      </c>
      <c r="L48" s="112">
        <v>1</v>
      </c>
      <c r="M48" s="112">
        <v>2</v>
      </c>
      <c r="N48" s="14">
        <v>0.81415929203539827</v>
      </c>
      <c r="O48" s="14">
        <f t="shared" si="9"/>
        <v>0.15486725663716816</v>
      </c>
      <c r="P48" s="14">
        <v>4.8672566371681415E-2</v>
      </c>
      <c r="Q48" s="14">
        <v>9.2920353982300891E-2</v>
      </c>
      <c r="R48" s="14">
        <v>4.4247787610619468E-3</v>
      </c>
      <c r="S48" s="14">
        <v>8.8495575221238937E-3</v>
      </c>
      <c r="T48" s="19">
        <f t="shared" si="10"/>
        <v>0.46544117647058825</v>
      </c>
      <c r="U48" s="19">
        <f t="shared" si="11"/>
        <v>250.40735294117647</v>
      </c>
      <c r="V48" s="126">
        <v>125</v>
      </c>
      <c r="W48" s="126">
        <v>193</v>
      </c>
      <c r="X48" s="127">
        <f t="shared" si="12"/>
        <v>0.35873605947955389</v>
      </c>
      <c r="Y48" s="127">
        <f t="shared" si="13"/>
        <v>0.15806918622371247</v>
      </c>
      <c r="Z48" s="127">
        <v>0.16</v>
      </c>
    </row>
    <row r="49" spans="1:27">
      <c r="A49" s="108">
        <v>46</v>
      </c>
      <c r="B49" s="109" t="s">
        <v>145</v>
      </c>
      <c r="C49" s="109" t="s">
        <v>146</v>
      </c>
      <c r="D49" s="109">
        <v>646</v>
      </c>
      <c r="E49" s="110">
        <v>640</v>
      </c>
      <c r="F49" s="39">
        <f t="shared" si="7"/>
        <v>222</v>
      </c>
      <c r="G49" s="111">
        <v>0.34687499999999999</v>
      </c>
      <c r="H49" s="108">
        <v>175</v>
      </c>
      <c r="I49" s="19">
        <f t="shared" si="8"/>
        <v>41</v>
      </c>
      <c r="J49" s="108">
        <v>10</v>
      </c>
      <c r="K49" s="108">
        <v>14</v>
      </c>
      <c r="L49" s="108">
        <v>15</v>
      </c>
      <c r="M49" s="108">
        <v>2</v>
      </c>
      <c r="N49" s="14">
        <v>0.78828828828828834</v>
      </c>
      <c r="O49" s="14">
        <f t="shared" si="9"/>
        <v>0.18468468468468466</v>
      </c>
      <c r="P49" s="14">
        <v>4.5045045045045043E-2</v>
      </c>
      <c r="Q49" s="14">
        <v>6.3063063063063057E-2</v>
      </c>
      <c r="R49" s="14">
        <v>6.7567567567567571E-2</v>
      </c>
      <c r="S49" s="14">
        <v>9.0090090090090089E-3</v>
      </c>
      <c r="T49" s="19">
        <f t="shared" si="10"/>
        <v>0.39687499999999998</v>
      </c>
      <c r="U49" s="19">
        <f t="shared" si="11"/>
        <v>256.38124999999997</v>
      </c>
      <c r="V49" s="126">
        <v>90</v>
      </c>
      <c r="W49" s="126">
        <v>195</v>
      </c>
      <c r="X49" s="127">
        <f t="shared" si="12"/>
        <v>0.30185758513931887</v>
      </c>
      <c r="Y49" s="127">
        <f t="shared" si="13"/>
        <v>0.14913461538461537</v>
      </c>
      <c r="Z49" s="127">
        <v>0.15</v>
      </c>
    </row>
    <row r="50" spans="1:27">
      <c r="A50" s="19">
        <v>18</v>
      </c>
      <c r="B50" s="3" t="s">
        <v>31</v>
      </c>
      <c r="C50" s="3" t="s">
        <v>91</v>
      </c>
      <c r="D50" s="3">
        <v>124</v>
      </c>
      <c r="E50" s="11">
        <v>137</v>
      </c>
      <c r="F50" s="39">
        <f t="shared" si="7"/>
        <v>83</v>
      </c>
      <c r="G50" s="14">
        <v>0.6058394160583942</v>
      </c>
      <c r="H50" s="19">
        <v>56</v>
      </c>
      <c r="I50" s="19">
        <f t="shared" si="8"/>
        <v>20</v>
      </c>
      <c r="J50" s="19">
        <v>2</v>
      </c>
      <c r="K50" s="19">
        <v>17</v>
      </c>
      <c r="L50" s="19">
        <v>0</v>
      </c>
      <c r="M50" s="19">
        <v>1</v>
      </c>
      <c r="N50" s="14">
        <v>0.67469879518072284</v>
      </c>
      <c r="O50" s="14">
        <f t="shared" si="9"/>
        <v>0.26506024096385539</v>
      </c>
      <c r="P50" s="14">
        <v>2.4096385542168676E-2</v>
      </c>
      <c r="Q50" s="14">
        <v>0.2289156626506024</v>
      </c>
      <c r="R50" s="14">
        <v>0</v>
      </c>
      <c r="S50" s="14">
        <v>1.2048192771084338E-2</v>
      </c>
      <c r="T50" s="19">
        <f t="shared" si="10"/>
        <v>0.63583941605839422</v>
      </c>
      <c r="U50" s="19">
        <f t="shared" si="11"/>
        <v>78.844087591240879</v>
      </c>
      <c r="V50" s="126">
        <v>30</v>
      </c>
      <c r="W50" s="126">
        <v>66</v>
      </c>
      <c r="X50" s="127">
        <f t="shared" si="12"/>
        <v>0.532258064516129</v>
      </c>
      <c r="Y50" s="127">
        <f t="shared" si="13"/>
        <v>0.13824375138243772</v>
      </c>
      <c r="Z50" s="127">
        <v>0.14000000000000001</v>
      </c>
    </row>
    <row r="51" spans="1:27">
      <c r="A51" s="19">
        <v>8</v>
      </c>
      <c r="B51" s="3" t="s">
        <v>63</v>
      </c>
      <c r="C51" s="3" t="s">
        <v>64</v>
      </c>
      <c r="D51" s="3">
        <v>1189</v>
      </c>
      <c r="E51" s="11">
        <v>1221</v>
      </c>
      <c r="F51" s="39">
        <f t="shared" si="7"/>
        <v>607</v>
      </c>
      <c r="G51" s="14">
        <v>0.49713349713349714</v>
      </c>
      <c r="H51" s="19">
        <v>370</v>
      </c>
      <c r="I51" s="19">
        <f t="shared" si="8"/>
        <v>220</v>
      </c>
      <c r="J51" s="19">
        <v>40</v>
      </c>
      <c r="K51" s="19">
        <v>150</v>
      </c>
      <c r="L51" s="19">
        <v>23</v>
      </c>
      <c r="M51" s="19">
        <v>7</v>
      </c>
      <c r="N51" s="14">
        <v>0.60955518945634268</v>
      </c>
      <c r="O51" s="14">
        <f t="shared" si="9"/>
        <v>0.36408566721581553</v>
      </c>
      <c r="P51" s="14">
        <v>7.0840197693574955E-2</v>
      </c>
      <c r="Q51" s="14">
        <v>0.24382207578253706</v>
      </c>
      <c r="R51" s="14">
        <v>3.789126853377265E-2</v>
      </c>
      <c r="S51" s="14">
        <v>1.1532125205930808E-2</v>
      </c>
      <c r="T51" s="19">
        <f t="shared" si="10"/>
        <v>0.52713349713349711</v>
      </c>
      <c r="U51" s="19">
        <f t="shared" si="11"/>
        <v>626.76172809172806</v>
      </c>
      <c r="V51" s="126">
        <v>273</v>
      </c>
      <c r="W51" s="126">
        <v>526</v>
      </c>
      <c r="X51" s="127">
        <f t="shared" si="12"/>
        <v>0.44238856181665265</v>
      </c>
      <c r="Y51" s="127">
        <f t="shared" si="13"/>
        <v>0.12374853249377971</v>
      </c>
      <c r="Z51" s="127">
        <v>0.12</v>
      </c>
    </row>
    <row r="52" spans="1:27">
      <c r="A52" s="19">
        <v>23</v>
      </c>
      <c r="B52" s="3" t="s">
        <v>27</v>
      </c>
      <c r="C52" s="3" t="s">
        <v>100</v>
      </c>
      <c r="D52" s="3">
        <v>97</v>
      </c>
      <c r="E52" s="11">
        <v>98</v>
      </c>
      <c r="F52" s="39">
        <f t="shared" si="7"/>
        <v>51</v>
      </c>
      <c r="G52" s="14">
        <v>0.52040816326530615</v>
      </c>
      <c r="H52" s="19">
        <v>45</v>
      </c>
      <c r="I52" s="19">
        <f t="shared" si="8"/>
        <v>5</v>
      </c>
      <c r="J52" s="19">
        <v>3</v>
      </c>
      <c r="K52" s="19">
        <v>1</v>
      </c>
      <c r="L52" s="19">
        <v>1</v>
      </c>
      <c r="M52" s="19">
        <v>0</v>
      </c>
      <c r="N52" s="14">
        <v>0.88235294117647056</v>
      </c>
      <c r="O52" s="14">
        <f t="shared" si="9"/>
        <v>9.8039215686274508E-2</v>
      </c>
      <c r="P52" s="14">
        <v>5.8823529411764705E-2</v>
      </c>
      <c r="Q52" s="14">
        <v>1.9607843137254902E-2</v>
      </c>
      <c r="R52" s="14">
        <v>1.9607843137254902E-2</v>
      </c>
      <c r="S52" s="14">
        <v>0</v>
      </c>
      <c r="T52" s="19">
        <f t="shared" si="10"/>
        <v>0.55040816326530617</v>
      </c>
      <c r="U52" s="19">
        <f t="shared" si="11"/>
        <v>53.389591836734695</v>
      </c>
      <c r="V52" s="126">
        <v>27</v>
      </c>
      <c r="W52" s="126">
        <v>45</v>
      </c>
      <c r="X52" s="127">
        <f t="shared" si="12"/>
        <v>0.46391752577319589</v>
      </c>
      <c r="Y52" s="127">
        <f t="shared" si="13"/>
        <v>0.12176870748299318</v>
      </c>
      <c r="Z52" s="127">
        <v>0.12</v>
      </c>
    </row>
    <row r="53" spans="1:27">
      <c r="A53" s="116">
        <v>49</v>
      </c>
      <c r="B53" s="117" t="s">
        <v>152</v>
      </c>
      <c r="C53" s="117" t="s">
        <v>153</v>
      </c>
      <c r="D53" s="117">
        <v>214</v>
      </c>
      <c r="E53" s="118">
        <v>223</v>
      </c>
      <c r="F53" s="39">
        <f t="shared" si="7"/>
        <v>137</v>
      </c>
      <c r="G53" s="119">
        <v>0.61434977578475336</v>
      </c>
      <c r="H53" s="116">
        <v>115</v>
      </c>
      <c r="I53" s="19">
        <f t="shared" si="8"/>
        <v>35</v>
      </c>
      <c r="J53" s="116">
        <v>5</v>
      </c>
      <c r="K53" s="116">
        <v>26</v>
      </c>
      <c r="L53" s="116">
        <v>3</v>
      </c>
      <c r="M53" s="116">
        <v>1</v>
      </c>
      <c r="N53" s="14">
        <v>0.7944444444444444</v>
      </c>
      <c r="O53" s="14">
        <f t="shared" si="9"/>
        <v>0.19444444444444445</v>
      </c>
      <c r="P53" s="14">
        <v>2.7777777777777776E-2</v>
      </c>
      <c r="Q53" s="14">
        <v>0.14444444444444443</v>
      </c>
      <c r="R53" s="14">
        <v>1.6666666666666666E-2</v>
      </c>
      <c r="S53" s="14">
        <v>5.5555555555555558E-3</v>
      </c>
      <c r="T53" s="19">
        <f t="shared" si="10"/>
        <v>0.64434977578475328</v>
      </c>
      <c r="U53" s="19">
        <f t="shared" si="11"/>
        <v>137.89085201793719</v>
      </c>
      <c r="V53" s="126">
        <v>49</v>
      </c>
      <c r="W53" s="126">
        <v>118</v>
      </c>
      <c r="X53" s="127">
        <f t="shared" si="12"/>
        <v>0.55140186915887845</v>
      </c>
      <c r="Y53" s="127">
        <f t="shared" si="13"/>
        <v>0.11415976286387486</v>
      </c>
      <c r="Z53" s="127">
        <v>0.11</v>
      </c>
    </row>
    <row r="54" spans="1:27" ht="13.85" customHeight="1">
      <c r="A54" s="121">
        <v>27</v>
      </c>
      <c r="B54" s="122" t="s">
        <v>12</v>
      </c>
      <c r="C54" s="122" t="s">
        <v>109</v>
      </c>
      <c r="D54" s="122">
        <v>406</v>
      </c>
      <c r="E54" s="123">
        <v>411</v>
      </c>
      <c r="F54" s="39">
        <f t="shared" si="7"/>
        <v>134</v>
      </c>
      <c r="G54" s="124">
        <v>0.32603406326034062</v>
      </c>
      <c r="H54" s="121">
        <v>116</v>
      </c>
      <c r="I54" s="19">
        <f t="shared" si="8"/>
        <v>17</v>
      </c>
      <c r="J54" s="112">
        <v>2</v>
      </c>
      <c r="K54" s="112">
        <v>14</v>
      </c>
      <c r="L54" s="112">
        <v>1</v>
      </c>
      <c r="M54" s="112">
        <v>0</v>
      </c>
      <c r="N54" s="14">
        <v>0.86567164179104472</v>
      </c>
      <c r="O54" s="14">
        <f t="shared" si="9"/>
        <v>0.12686567164179105</v>
      </c>
      <c r="P54" s="14">
        <v>1.4925373134328358E-2</v>
      </c>
      <c r="Q54" s="14">
        <v>0.1044776119402985</v>
      </c>
      <c r="R54" s="14">
        <v>7.462686567164179E-3</v>
      </c>
      <c r="S54" s="14">
        <v>0</v>
      </c>
      <c r="T54" s="19">
        <f t="shared" si="10"/>
        <v>0.37603406326034061</v>
      </c>
      <c r="U54" s="19">
        <f t="shared" si="11"/>
        <v>152.66982968369828</v>
      </c>
      <c r="V54" s="126">
        <v>30</v>
      </c>
      <c r="W54" s="126">
        <v>120</v>
      </c>
      <c r="X54" s="127">
        <f t="shared" si="12"/>
        <v>0.29556650246305421</v>
      </c>
      <c r="Y54" s="127">
        <f t="shared" si="13"/>
        <v>0.10308191403081901</v>
      </c>
      <c r="Z54" s="127">
        <v>0.1</v>
      </c>
    </row>
    <row r="55" spans="1:27">
      <c r="A55" s="121">
        <v>22</v>
      </c>
      <c r="B55" s="122" t="s">
        <v>98</v>
      </c>
      <c r="C55" s="122" t="s">
        <v>41</v>
      </c>
      <c r="D55" s="122">
        <v>411</v>
      </c>
      <c r="E55" s="123">
        <v>414</v>
      </c>
      <c r="F55" s="39">
        <f t="shared" si="7"/>
        <v>131</v>
      </c>
      <c r="G55" s="124">
        <v>0.31642512077294688</v>
      </c>
      <c r="H55" s="121">
        <v>96</v>
      </c>
      <c r="I55" s="19">
        <f t="shared" si="8"/>
        <v>30</v>
      </c>
      <c r="J55" s="112">
        <v>8</v>
      </c>
      <c r="K55" s="112">
        <v>18</v>
      </c>
      <c r="L55" s="112">
        <v>3</v>
      </c>
      <c r="M55" s="112">
        <v>1</v>
      </c>
      <c r="N55" s="14">
        <v>0.73282442748091603</v>
      </c>
      <c r="O55" s="14">
        <f t="shared" si="9"/>
        <v>0.22900763358778628</v>
      </c>
      <c r="P55" s="14">
        <v>6.1068702290076333E-2</v>
      </c>
      <c r="Q55" s="14">
        <v>0.13740458015267176</v>
      </c>
      <c r="R55" s="14">
        <v>2.2900763358778626E-2</v>
      </c>
      <c r="S55" s="14">
        <v>7.6335877862595417E-3</v>
      </c>
      <c r="T55" s="19">
        <f t="shared" si="10"/>
        <v>0.36642512077294681</v>
      </c>
      <c r="U55" s="19">
        <f t="shared" si="11"/>
        <v>150.60072463768114</v>
      </c>
      <c r="V55" s="126">
        <v>60</v>
      </c>
      <c r="W55" s="126">
        <v>118</v>
      </c>
      <c r="X55" s="127">
        <f t="shared" si="12"/>
        <v>0.28710462287104621</v>
      </c>
      <c r="Y55" s="127">
        <f t="shared" si="13"/>
        <v>0.10212478506509459</v>
      </c>
      <c r="Z55" s="127">
        <v>0.1</v>
      </c>
    </row>
    <row r="56" spans="1:27">
      <c r="A56" s="121">
        <v>59</v>
      </c>
      <c r="B56" s="122" t="s">
        <v>17</v>
      </c>
      <c r="C56" s="122" t="s">
        <v>175</v>
      </c>
      <c r="D56" s="122">
        <v>535</v>
      </c>
      <c r="E56" s="123">
        <v>550</v>
      </c>
      <c r="F56" s="39">
        <f t="shared" si="7"/>
        <v>184</v>
      </c>
      <c r="G56" s="124">
        <v>0.33454545454545453</v>
      </c>
      <c r="H56" s="121">
        <v>159</v>
      </c>
      <c r="I56" s="19">
        <f t="shared" si="8"/>
        <v>19</v>
      </c>
      <c r="J56" s="112">
        <v>4</v>
      </c>
      <c r="K56" s="112">
        <v>9</v>
      </c>
      <c r="L56" s="112">
        <v>2</v>
      </c>
      <c r="M56" s="112">
        <v>4</v>
      </c>
      <c r="N56" s="14">
        <v>0.86413043478260865</v>
      </c>
      <c r="O56" s="14">
        <f t="shared" si="9"/>
        <v>0.10326086956521739</v>
      </c>
      <c r="P56" s="14">
        <v>3.2608695652173912E-2</v>
      </c>
      <c r="Q56" s="14">
        <v>3.8043478260869568E-2</v>
      </c>
      <c r="R56" s="14">
        <v>1.0869565217391304E-2</v>
      </c>
      <c r="S56" s="14">
        <v>2.1739130434782608E-2</v>
      </c>
      <c r="T56" s="19">
        <f t="shared" si="10"/>
        <v>0.38454545454545452</v>
      </c>
      <c r="U56" s="19">
        <f t="shared" si="11"/>
        <v>205.73181818181817</v>
      </c>
      <c r="V56" s="126">
        <v>83</v>
      </c>
      <c r="W56" s="126">
        <v>163</v>
      </c>
      <c r="X56" s="127">
        <f t="shared" si="12"/>
        <v>0.30467289719626167</v>
      </c>
      <c r="Y56" s="127">
        <f t="shared" si="13"/>
        <v>9.8047964305633117E-2</v>
      </c>
      <c r="Z56" s="127">
        <v>0.1</v>
      </c>
    </row>
    <row r="57" spans="1:27">
      <c r="A57" s="112">
        <v>47</v>
      </c>
      <c r="B57" s="113" t="s">
        <v>17</v>
      </c>
      <c r="C57" s="113" t="s">
        <v>148</v>
      </c>
      <c r="D57" s="113">
        <v>540</v>
      </c>
      <c r="E57" s="114">
        <v>521</v>
      </c>
      <c r="F57" s="39">
        <f t="shared" si="7"/>
        <v>242</v>
      </c>
      <c r="G57" s="115">
        <v>0.46449136276391556</v>
      </c>
      <c r="H57" s="112">
        <v>209</v>
      </c>
      <c r="I57" s="19">
        <f t="shared" si="8"/>
        <v>27</v>
      </c>
      <c r="J57" s="112">
        <v>9</v>
      </c>
      <c r="K57" s="112">
        <v>14</v>
      </c>
      <c r="L57" s="112">
        <v>3</v>
      </c>
      <c r="M57" s="112">
        <v>1</v>
      </c>
      <c r="N57" s="14">
        <v>0.86363636363636365</v>
      </c>
      <c r="O57" s="14">
        <f t="shared" si="9"/>
        <v>0.1115702479338843</v>
      </c>
      <c r="P57" s="14">
        <v>4.1322314049586778E-2</v>
      </c>
      <c r="Q57" s="14">
        <v>5.3719008264462811E-2</v>
      </c>
      <c r="R57" s="14">
        <v>1.2396694214876033E-2</v>
      </c>
      <c r="S57" s="14">
        <v>4.1322314049586778E-3</v>
      </c>
      <c r="T57" s="19">
        <f t="shared" si="10"/>
        <v>0.49449136276391559</v>
      </c>
      <c r="U57" s="19">
        <f t="shared" si="11"/>
        <v>267.02533589251442</v>
      </c>
      <c r="V57" s="126">
        <v>96</v>
      </c>
      <c r="W57" s="126">
        <v>230</v>
      </c>
      <c r="X57" s="127">
        <f t="shared" si="12"/>
        <v>0.42592592592592593</v>
      </c>
      <c r="Y57" s="127">
        <f t="shared" si="13"/>
        <v>9.0544938663106089E-2</v>
      </c>
      <c r="Z57" s="127">
        <v>0.09</v>
      </c>
    </row>
    <row r="58" spans="1:27">
      <c r="A58" s="116">
        <v>35</v>
      </c>
      <c r="B58" s="117" t="s">
        <v>12</v>
      </c>
      <c r="C58" s="117" t="s">
        <v>123</v>
      </c>
      <c r="D58" s="117">
        <v>260</v>
      </c>
      <c r="E58" s="118">
        <v>268</v>
      </c>
      <c r="F58" s="39">
        <f t="shared" si="7"/>
        <v>180</v>
      </c>
      <c r="G58" s="119">
        <v>0.67164179104477617</v>
      </c>
      <c r="H58" s="116">
        <v>143</v>
      </c>
      <c r="I58" s="19">
        <f t="shared" si="8"/>
        <v>41</v>
      </c>
      <c r="J58" s="116">
        <v>8</v>
      </c>
      <c r="K58" s="116">
        <v>30</v>
      </c>
      <c r="L58" s="116">
        <v>3</v>
      </c>
      <c r="M58" s="116">
        <v>0</v>
      </c>
      <c r="N58" s="14">
        <v>0.74033149171270718</v>
      </c>
      <c r="O58" s="14">
        <f t="shared" si="9"/>
        <v>0.22651933701657456</v>
      </c>
      <c r="P58" s="14">
        <v>4.4198895027624308E-2</v>
      </c>
      <c r="Q58" s="14">
        <v>0.16574585635359115</v>
      </c>
      <c r="R58" s="14">
        <v>1.6574585635359115E-2</v>
      </c>
      <c r="S58" s="14">
        <v>0</v>
      </c>
      <c r="T58" s="19">
        <f t="shared" si="10"/>
        <v>0.67164179104477617</v>
      </c>
      <c r="U58" s="19">
        <f t="shared" si="11"/>
        <v>174.62686567164181</v>
      </c>
      <c r="V58" s="126">
        <v>35</v>
      </c>
      <c r="W58" s="126">
        <v>163</v>
      </c>
      <c r="X58" s="127">
        <f t="shared" si="12"/>
        <v>0.62692307692307692</v>
      </c>
      <c r="Y58" s="127">
        <f t="shared" si="13"/>
        <v>7.133046424320133E-2</v>
      </c>
      <c r="Z58" s="127">
        <v>7.0000000000000007E-2</v>
      </c>
    </row>
    <row r="59" spans="1:27">
      <c r="A59" s="19">
        <v>62</v>
      </c>
      <c r="B59" s="3" t="s">
        <v>12</v>
      </c>
      <c r="C59" s="3" t="s">
        <v>180</v>
      </c>
      <c r="D59" s="3">
        <v>47</v>
      </c>
      <c r="E59" s="11">
        <v>51</v>
      </c>
      <c r="F59" s="39">
        <f t="shared" si="7"/>
        <v>37.999999999999986</v>
      </c>
      <c r="G59" s="14">
        <v>0.74509803921568596</v>
      </c>
      <c r="H59" s="19">
        <v>33</v>
      </c>
      <c r="I59" s="19">
        <f t="shared" si="8"/>
        <v>5</v>
      </c>
      <c r="J59" s="19">
        <v>0</v>
      </c>
      <c r="K59" s="19">
        <v>2</v>
      </c>
      <c r="L59" s="19">
        <v>2</v>
      </c>
      <c r="M59" s="19">
        <v>1</v>
      </c>
      <c r="N59" s="14">
        <v>0.86842105263157898</v>
      </c>
      <c r="O59" s="14">
        <f t="shared" si="9"/>
        <v>0.13157894736842105</v>
      </c>
      <c r="P59" s="14">
        <v>0</v>
      </c>
      <c r="Q59" s="14">
        <v>5.2631578947368418E-2</v>
      </c>
      <c r="R59" s="14">
        <v>5.2631578947368418E-2</v>
      </c>
      <c r="S59" s="14">
        <v>2.6315789473684209E-2</v>
      </c>
      <c r="T59" s="19">
        <f t="shared" si="10"/>
        <v>0.74509803921568596</v>
      </c>
      <c r="U59" s="19">
        <f t="shared" si="11"/>
        <v>35.019607843137237</v>
      </c>
      <c r="V59" s="126">
        <v>30</v>
      </c>
      <c r="W59" s="126">
        <v>33</v>
      </c>
      <c r="X59" s="127">
        <f t="shared" si="12"/>
        <v>0.7021276595744681</v>
      </c>
      <c r="Y59" s="127">
        <f t="shared" si="13"/>
        <v>6.1200237670825386E-2</v>
      </c>
      <c r="Z59" s="127">
        <v>0.06</v>
      </c>
    </row>
    <row r="60" spans="1:27">
      <c r="A60" s="121">
        <v>20</v>
      </c>
      <c r="B60" s="122" t="s">
        <v>12</v>
      </c>
      <c r="C60" s="122" t="s">
        <v>41</v>
      </c>
      <c r="D60" s="122">
        <v>483</v>
      </c>
      <c r="E60" s="123">
        <v>480</v>
      </c>
      <c r="F60" s="39">
        <f t="shared" si="7"/>
        <v>156</v>
      </c>
      <c r="G60" s="124">
        <v>0.32500000000000001</v>
      </c>
      <c r="H60" s="121">
        <v>120</v>
      </c>
      <c r="I60" s="19">
        <f t="shared" si="8"/>
        <v>30</v>
      </c>
      <c r="J60" s="112">
        <v>3</v>
      </c>
      <c r="K60" s="112">
        <v>20</v>
      </c>
      <c r="L60" s="112">
        <v>6</v>
      </c>
      <c r="M60" s="112">
        <v>1</v>
      </c>
      <c r="N60" s="14">
        <v>0.76923076923076927</v>
      </c>
      <c r="O60" s="14">
        <f t="shared" si="9"/>
        <v>0.19230769230769232</v>
      </c>
      <c r="P60" s="14">
        <v>3.2051282051282048E-2</v>
      </c>
      <c r="Q60" s="14">
        <v>0.11538461538461539</v>
      </c>
      <c r="R60" s="14">
        <v>3.8461538461538464E-2</v>
      </c>
      <c r="S60" s="14">
        <v>6.41025641025641E-3</v>
      </c>
      <c r="T60" s="19">
        <f t="shared" si="10"/>
        <v>0.375</v>
      </c>
      <c r="U60" s="19">
        <f t="shared" si="11"/>
        <v>181.125</v>
      </c>
      <c r="V60" s="126">
        <v>45</v>
      </c>
      <c r="W60" s="126">
        <v>148</v>
      </c>
      <c r="X60" s="127">
        <f t="shared" si="12"/>
        <v>0.30641821946169773</v>
      </c>
      <c r="Y60" s="127">
        <f t="shared" si="13"/>
        <v>6.0641891891891841E-2</v>
      </c>
      <c r="Z60" s="127">
        <v>0.06</v>
      </c>
      <c r="AA60" s="120">
        <f>SUM(W2:W66)/SUM(D2:D66)</f>
        <v>0.3417488453376607</v>
      </c>
    </row>
    <row r="61" spans="1:27">
      <c r="A61" s="121">
        <v>21</v>
      </c>
      <c r="B61" s="122" t="s">
        <v>96</v>
      </c>
      <c r="C61" s="122" t="s">
        <v>41</v>
      </c>
      <c r="D61" s="122">
        <v>463</v>
      </c>
      <c r="E61" s="123">
        <v>454</v>
      </c>
      <c r="F61" s="39">
        <f t="shared" si="7"/>
        <v>153</v>
      </c>
      <c r="G61" s="124">
        <v>0.33700440528634362</v>
      </c>
      <c r="H61" s="121">
        <v>124</v>
      </c>
      <c r="I61" s="19">
        <f t="shared" si="8"/>
        <v>23</v>
      </c>
      <c r="J61" s="112">
        <v>1</v>
      </c>
      <c r="K61" s="112">
        <v>19</v>
      </c>
      <c r="L61" s="112">
        <v>2</v>
      </c>
      <c r="M61" s="112">
        <v>1</v>
      </c>
      <c r="N61" s="14">
        <v>0.81045751633986929</v>
      </c>
      <c r="O61" s="14">
        <f t="shared" si="9"/>
        <v>0.15032679738562094</v>
      </c>
      <c r="P61" s="14">
        <v>6.5359477124183009E-3</v>
      </c>
      <c r="Q61" s="14">
        <v>0.12418300653594772</v>
      </c>
      <c r="R61" s="14">
        <v>1.3071895424836602E-2</v>
      </c>
      <c r="S61" s="14">
        <v>6.5359477124183009E-3</v>
      </c>
      <c r="T61" s="19">
        <f t="shared" si="10"/>
        <v>0.38700440528634361</v>
      </c>
      <c r="U61" s="19">
        <f t="shared" si="11"/>
        <v>179.18303964757709</v>
      </c>
      <c r="V61" s="126">
        <v>91</v>
      </c>
      <c r="W61" s="126">
        <v>153</v>
      </c>
      <c r="X61" s="127">
        <f t="shared" si="12"/>
        <v>0.33045356371490281</v>
      </c>
      <c r="Y61" s="127">
        <f t="shared" si="13"/>
        <v>1.982378854625555E-2</v>
      </c>
      <c r="Z61" s="127">
        <v>0.02</v>
      </c>
    </row>
    <row r="62" spans="1:27">
      <c r="A62" s="116">
        <v>40</v>
      </c>
      <c r="B62" s="117" t="s">
        <v>17</v>
      </c>
      <c r="C62" s="117" t="s">
        <v>135</v>
      </c>
      <c r="D62" s="117">
        <v>254</v>
      </c>
      <c r="E62" s="118">
        <v>293</v>
      </c>
      <c r="F62" s="39">
        <f t="shared" si="7"/>
        <v>125</v>
      </c>
      <c r="G62" s="119">
        <v>0.42662116040955633</v>
      </c>
      <c r="H62" s="116">
        <v>117</v>
      </c>
      <c r="I62" s="19">
        <f t="shared" si="8"/>
        <v>8</v>
      </c>
      <c r="J62" s="116">
        <v>2</v>
      </c>
      <c r="K62" s="116">
        <v>5</v>
      </c>
      <c r="L62" s="116">
        <v>1</v>
      </c>
      <c r="M62" s="116">
        <v>0</v>
      </c>
      <c r="N62" s="14">
        <v>0.92233009708737868</v>
      </c>
      <c r="O62" s="14">
        <f t="shared" si="9"/>
        <v>7.7669902912621352E-2</v>
      </c>
      <c r="P62" s="14">
        <v>1.9417475728155338E-2</v>
      </c>
      <c r="Q62" s="14">
        <v>4.8543689320388349E-2</v>
      </c>
      <c r="R62" s="14">
        <v>9.7087378640776691E-3</v>
      </c>
      <c r="S62" s="14">
        <v>0</v>
      </c>
      <c r="T62" s="19">
        <f t="shared" si="10"/>
        <v>0.47662116040955632</v>
      </c>
      <c r="U62" s="19">
        <f t="shared" si="11"/>
        <v>121.0617747440273</v>
      </c>
      <c r="V62" s="126">
        <v>56</v>
      </c>
      <c r="W62" s="126">
        <v>107</v>
      </c>
      <c r="X62" s="127">
        <f t="shared" si="12"/>
        <v>0.42125984251968501</v>
      </c>
      <c r="Y62" s="127">
        <f t="shared" si="13"/>
        <v>1.2726866766610501E-2</v>
      </c>
      <c r="Z62" s="127">
        <v>0.01</v>
      </c>
    </row>
    <row r="63" spans="1:27">
      <c r="A63" s="116">
        <v>44</v>
      </c>
      <c r="B63" s="117" t="s">
        <v>106</v>
      </c>
      <c r="C63" s="117" t="s">
        <v>35</v>
      </c>
      <c r="D63" s="117">
        <v>223</v>
      </c>
      <c r="E63" s="118">
        <v>236</v>
      </c>
      <c r="F63" s="39">
        <f t="shared" si="7"/>
        <v>49</v>
      </c>
      <c r="G63" s="119">
        <v>0.2076271186440678</v>
      </c>
      <c r="H63" s="116">
        <v>34</v>
      </c>
      <c r="I63" s="19">
        <f t="shared" si="8"/>
        <v>20</v>
      </c>
      <c r="J63" s="116">
        <v>5</v>
      </c>
      <c r="K63" s="116">
        <v>14</v>
      </c>
      <c r="L63" s="116">
        <v>1</v>
      </c>
      <c r="M63" s="116">
        <v>0</v>
      </c>
      <c r="N63" s="14">
        <v>0.82481751824817517</v>
      </c>
      <c r="O63" s="14">
        <f t="shared" si="9"/>
        <v>0.145985401459854</v>
      </c>
      <c r="P63" s="14">
        <v>5.1094890510948905E-2</v>
      </c>
      <c r="Q63" s="14">
        <v>8.7591240875912413E-2</v>
      </c>
      <c r="R63" s="14">
        <v>7.2992700729927005E-3</v>
      </c>
      <c r="S63" s="14">
        <v>0</v>
      </c>
      <c r="T63" s="19">
        <f t="shared" si="10"/>
        <v>0.25762711864406779</v>
      </c>
      <c r="U63" s="19">
        <f t="shared" si="11"/>
        <v>57.45084745762712</v>
      </c>
      <c r="V63" s="126">
        <v>30</v>
      </c>
      <c r="W63" s="126">
        <v>46</v>
      </c>
      <c r="X63" s="127">
        <f t="shared" si="12"/>
        <v>0.20627802690582961</v>
      </c>
      <c r="Y63" s="127">
        <f t="shared" si="13"/>
        <v>6.5401621223286632E-3</v>
      </c>
      <c r="Z63" s="127">
        <v>0.01</v>
      </c>
    </row>
    <row r="64" spans="1:27" ht="15.65" customHeight="1">
      <c r="A64" s="121">
        <v>29</v>
      </c>
      <c r="B64" s="122" t="s">
        <v>33</v>
      </c>
      <c r="C64" s="122" t="s">
        <v>109</v>
      </c>
      <c r="D64" s="122">
        <v>476</v>
      </c>
      <c r="E64" s="123">
        <v>463</v>
      </c>
      <c r="F64" s="39">
        <f t="shared" si="7"/>
        <v>118</v>
      </c>
      <c r="G64" s="124">
        <v>0.25485961123110151</v>
      </c>
      <c r="H64" s="121">
        <v>104</v>
      </c>
      <c r="I64" s="19">
        <f t="shared" si="8"/>
        <v>12</v>
      </c>
      <c r="J64" s="112">
        <v>2</v>
      </c>
      <c r="K64" s="112">
        <v>10</v>
      </c>
      <c r="L64" s="112">
        <v>0</v>
      </c>
      <c r="M64" s="112">
        <v>0</v>
      </c>
      <c r="N64" s="14">
        <v>0.88135593220338981</v>
      </c>
      <c r="O64" s="14">
        <f t="shared" si="9"/>
        <v>0.11016949152542373</v>
      </c>
      <c r="P64" s="14">
        <v>1.6949152542372881E-2</v>
      </c>
      <c r="Q64" s="14">
        <v>9.3220338983050849E-2</v>
      </c>
      <c r="R64" s="14">
        <v>0</v>
      </c>
      <c r="S64" s="14">
        <v>0</v>
      </c>
      <c r="T64" s="19">
        <f t="shared" si="10"/>
        <v>0.3048596112311015</v>
      </c>
      <c r="U64" s="19">
        <f t="shared" si="11"/>
        <v>145.11317494600431</v>
      </c>
      <c r="V64" s="126">
        <v>73</v>
      </c>
      <c r="W64" s="126">
        <v>121</v>
      </c>
      <c r="X64" s="127">
        <f t="shared" si="12"/>
        <v>0.25420168067226889</v>
      </c>
      <c r="Y64" s="127">
        <f t="shared" si="13"/>
        <v>2.5882226942506303E-3</v>
      </c>
      <c r="Z64" s="127">
        <v>0</v>
      </c>
    </row>
    <row r="65" spans="1:26">
      <c r="A65" s="108">
        <v>54</v>
      </c>
      <c r="B65" s="109" t="s">
        <v>163</v>
      </c>
      <c r="C65" s="109" t="s">
        <v>161</v>
      </c>
      <c r="D65" s="109">
        <v>583</v>
      </c>
      <c r="E65" s="110">
        <v>582</v>
      </c>
      <c r="F65" s="39">
        <f t="shared" si="7"/>
        <v>185</v>
      </c>
      <c r="G65" s="111">
        <v>0.31786941580756012</v>
      </c>
      <c r="H65" s="108">
        <v>153</v>
      </c>
      <c r="I65" s="19">
        <f t="shared" si="8"/>
        <v>23</v>
      </c>
      <c r="J65" s="108">
        <v>6</v>
      </c>
      <c r="K65" s="108">
        <v>14</v>
      </c>
      <c r="L65" s="108">
        <v>1</v>
      </c>
      <c r="M65" s="108">
        <v>2</v>
      </c>
      <c r="N65" s="14">
        <v>0.82702702702702702</v>
      </c>
      <c r="O65" s="14">
        <f t="shared" si="9"/>
        <v>0.12972972972972974</v>
      </c>
      <c r="P65" s="14">
        <v>3.2432432432432434E-2</v>
      </c>
      <c r="Q65" s="14">
        <v>8.1081081081081086E-2</v>
      </c>
      <c r="R65" s="14">
        <v>5.4054054054054057E-3</v>
      </c>
      <c r="S65" s="14">
        <v>1.0810810810810811E-2</v>
      </c>
      <c r="T65" s="19">
        <f t="shared" si="10"/>
        <v>0.36786941580756005</v>
      </c>
      <c r="U65" s="19">
        <f t="shared" si="11"/>
        <v>214.46786941580751</v>
      </c>
      <c r="V65" s="126">
        <v>75</v>
      </c>
      <c r="W65" s="126">
        <v>185</v>
      </c>
      <c r="X65" s="127">
        <f t="shared" si="12"/>
        <v>0.31732418524871353</v>
      </c>
      <c r="Y65" s="127">
        <f t="shared" si="13"/>
        <v>1.7182130584192379E-3</v>
      </c>
      <c r="Z65" s="127">
        <v>0</v>
      </c>
    </row>
    <row r="66" spans="1:26">
      <c r="A66" s="116">
        <v>57</v>
      </c>
      <c r="B66" s="117" t="s">
        <v>17</v>
      </c>
      <c r="C66" s="117" t="s">
        <v>170</v>
      </c>
      <c r="D66" s="117">
        <v>207</v>
      </c>
      <c r="E66" s="118">
        <v>226</v>
      </c>
      <c r="F66" s="39">
        <f t="shared" ref="F66:F73" si="14">E66*G66</f>
        <v>122.99999999999999</v>
      </c>
      <c r="G66" s="119">
        <v>0.54424778761061943</v>
      </c>
      <c r="H66" s="116">
        <v>95</v>
      </c>
      <c r="I66" s="19">
        <f t="shared" ref="I66:I73" si="15">SUM(J66:M66)</f>
        <v>12</v>
      </c>
      <c r="J66" s="116">
        <v>4</v>
      </c>
      <c r="K66" s="116">
        <v>8</v>
      </c>
      <c r="L66" s="116">
        <v>0</v>
      </c>
      <c r="M66" s="116">
        <v>0</v>
      </c>
      <c r="N66" s="14">
        <v>0.69387755102040816</v>
      </c>
      <c r="O66" s="14">
        <f t="shared" ref="O66:O73" si="16">SUM(P66:S66)</f>
        <v>0.24489795918367346</v>
      </c>
      <c r="P66" s="14">
        <v>8.1632653061224483E-2</v>
      </c>
      <c r="Q66" s="14">
        <v>0.16326530612244897</v>
      </c>
      <c r="R66" s="14">
        <v>0</v>
      </c>
      <c r="S66" s="14">
        <v>0</v>
      </c>
      <c r="T66" s="19">
        <f t="shared" ref="T66:T73" si="17">IF(G66&gt;65%, G66, IF(G66&gt;=45%, (100*G66+3)%, (100*G66+5)%))</f>
        <v>0.57424778761061945</v>
      </c>
      <c r="U66" s="19">
        <f t="shared" ref="U66:U73" si="18">T66*D66</f>
        <v>118.86929203539823</v>
      </c>
      <c r="V66" s="126">
        <v>50</v>
      </c>
      <c r="W66" s="126">
        <v>113</v>
      </c>
      <c r="X66" s="127">
        <f t="shared" ref="X66:X73" si="19">(W66/D66)</f>
        <v>0.54589371980676327</v>
      </c>
      <c r="Y66" s="127">
        <f t="shared" ref="Y66:Y73" si="20">G66/X66-1</f>
        <v>-3.0151147309891435E-3</v>
      </c>
      <c r="Z66" s="127">
        <v>0</v>
      </c>
    </row>
    <row r="67" spans="1:26">
      <c r="A67" s="19">
        <v>10</v>
      </c>
      <c r="B67" s="3" t="s">
        <v>69</v>
      </c>
      <c r="C67" s="3" t="s">
        <v>64</v>
      </c>
      <c r="D67" s="3">
        <v>1466</v>
      </c>
      <c r="E67" s="11">
        <v>1467</v>
      </c>
      <c r="F67" s="39">
        <f t="shared" si="14"/>
        <v>731</v>
      </c>
      <c r="G67" s="14">
        <v>0.49829584185412407</v>
      </c>
      <c r="H67" s="19">
        <v>437</v>
      </c>
      <c r="I67" s="19">
        <f t="shared" si="15"/>
        <v>277</v>
      </c>
      <c r="J67" s="19">
        <v>51</v>
      </c>
      <c r="K67" s="19">
        <v>181</v>
      </c>
      <c r="L67" s="19">
        <v>37</v>
      </c>
      <c r="M67" s="19">
        <v>8</v>
      </c>
      <c r="N67" s="14">
        <v>0.5978112175102599</v>
      </c>
      <c r="O67" s="14">
        <f t="shared" si="16"/>
        <v>0.3844049247606019</v>
      </c>
      <c r="P67" s="14">
        <v>7.7975376196990423E-2</v>
      </c>
      <c r="Q67" s="14">
        <v>0.24487004103967169</v>
      </c>
      <c r="R67" s="14">
        <v>5.0615595075239397E-2</v>
      </c>
      <c r="S67" s="14">
        <v>1.094391244870041E-2</v>
      </c>
      <c r="T67" s="19">
        <f t="shared" si="17"/>
        <v>0.52829584185412404</v>
      </c>
      <c r="U67" s="19">
        <f t="shared" si="18"/>
        <v>774.48170415814582</v>
      </c>
      <c r="V67" s="126">
        <v>258</v>
      </c>
      <c r="W67" s="126">
        <v>750</v>
      </c>
      <c r="X67" s="127">
        <f t="shared" si="19"/>
        <v>0.51159618008185537</v>
      </c>
      <c r="Y67" s="127">
        <f t="shared" si="20"/>
        <v>-2.599772778913878E-2</v>
      </c>
      <c r="Z67" s="127">
        <v>-0.03</v>
      </c>
    </row>
    <row r="68" spans="1:26">
      <c r="A68" s="121">
        <v>37</v>
      </c>
      <c r="B68" s="122" t="s">
        <v>128</v>
      </c>
      <c r="C68" s="122" t="s">
        <v>126</v>
      </c>
      <c r="D68" s="122">
        <v>466</v>
      </c>
      <c r="E68" s="123">
        <v>473</v>
      </c>
      <c r="F68" s="39">
        <f t="shared" si="14"/>
        <v>143</v>
      </c>
      <c r="G68" s="124">
        <v>0.30232558139534882</v>
      </c>
      <c r="H68" s="121">
        <v>114</v>
      </c>
      <c r="I68" s="19">
        <f t="shared" si="15"/>
        <v>23</v>
      </c>
      <c r="J68" s="112">
        <v>12</v>
      </c>
      <c r="K68" s="112">
        <v>8</v>
      </c>
      <c r="L68" s="112">
        <v>0</v>
      </c>
      <c r="M68" s="112">
        <v>3</v>
      </c>
      <c r="N68" s="14">
        <v>0.79720279720279719</v>
      </c>
      <c r="O68" s="14">
        <f t="shared" si="16"/>
        <v>0.16083916083916086</v>
      </c>
      <c r="P68" s="14">
        <v>8.3916083916083919E-2</v>
      </c>
      <c r="Q68" s="14">
        <v>5.5944055944055944E-2</v>
      </c>
      <c r="R68" s="14">
        <v>0</v>
      </c>
      <c r="S68" s="14">
        <v>2.097902097902098E-2</v>
      </c>
      <c r="T68" s="19">
        <f t="shared" si="17"/>
        <v>0.35232558139534881</v>
      </c>
      <c r="U68" s="19">
        <f t="shared" si="18"/>
        <v>164.18372093023254</v>
      </c>
      <c r="V68" s="126">
        <v>60</v>
      </c>
      <c r="W68" s="126">
        <v>150</v>
      </c>
      <c r="X68" s="127">
        <f t="shared" si="19"/>
        <v>0.32188841201716739</v>
      </c>
      <c r="Y68" s="127">
        <f t="shared" si="20"/>
        <v>-6.0775193798449645E-2</v>
      </c>
      <c r="Z68" s="127">
        <v>-0.06</v>
      </c>
    </row>
    <row r="69" spans="1:26">
      <c r="A69" s="121">
        <v>55</v>
      </c>
      <c r="B69" s="122" t="s">
        <v>165</v>
      </c>
      <c r="C69" s="122" t="s">
        <v>161</v>
      </c>
      <c r="D69" s="122">
        <v>518</v>
      </c>
      <c r="E69" s="123">
        <v>528</v>
      </c>
      <c r="F69" s="39">
        <f t="shared" si="14"/>
        <v>166</v>
      </c>
      <c r="G69" s="124">
        <v>0.31439393939393939</v>
      </c>
      <c r="H69" s="121">
        <v>130</v>
      </c>
      <c r="I69" s="19">
        <f t="shared" si="15"/>
        <v>28</v>
      </c>
      <c r="J69" s="112">
        <v>7</v>
      </c>
      <c r="K69" s="112">
        <v>15</v>
      </c>
      <c r="L69" s="112">
        <v>5</v>
      </c>
      <c r="M69" s="112">
        <v>1</v>
      </c>
      <c r="N69" s="14">
        <v>0.7831325301204819</v>
      </c>
      <c r="O69" s="14">
        <f t="shared" si="16"/>
        <v>0.17469879518072287</v>
      </c>
      <c r="P69" s="14">
        <v>4.2168674698795178E-2</v>
      </c>
      <c r="Q69" s="14">
        <v>9.6385542168674704E-2</v>
      </c>
      <c r="R69" s="14">
        <v>3.0120481927710843E-2</v>
      </c>
      <c r="S69" s="14">
        <v>6.024096385542169E-3</v>
      </c>
      <c r="T69" s="19">
        <f t="shared" si="17"/>
        <v>0.36439393939393938</v>
      </c>
      <c r="U69" s="19">
        <f t="shared" si="18"/>
        <v>188.7560606060606</v>
      </c>
      <c r="V69" s="126">
        <v>40</v>
      </c>
      <c r="W69" s="126">
        <v>174</v>
      </c>
      <c r="X69" s="127">
        <f t="shared" si="19"/>
        <v>0.3359073359073359</v>
      </c>
      <c r="Y69" s="127">
        <f t="shared" si="20"/>
        <v>-6.4045628700801105E-2</v>
      </c>
      <c r="Z69" s="127">
        <v>-0.06</v>
      </c>
    </row>
    <row r="70" spans="1:26">
      <c r="A70" s="19">
        <v>64</v>
      </c>
      <c r="B70" s="3" t="s">
        <v>27</v>
      </c>
      <c r="C70" s="3" t="s">
        <v>184</v>
      </c>
      <c r="D70" s="3">
        <v>100</v>
      </c>
      <c r="E70" s="11">
        <v>107</v>
      </c>
      <c r="F70" s="39">
        <f t="shared" si="14"/>
        <v>60.999999999999993</v>
      </c>
      <c r="G70" s="14">
        <v>0.57009345794392519</v>
      </c>
      <c r="H70" s="19">
        <v>50</v>
      </c>
      <c r="I70" s="19">
        <f t="shared" si="15"/>
        <v>10</v>
      </c>
      <c r="J70" s="19">
        <v>6</v>
      </c>
      <c r="K70" s="19">
        <v>3</v>
      </c>
      <c r="L70" s="19">
        <v>1</v>
      </c>
      <c r="M70" s="19">
        <v>0</v>
      </c>
      <c r="N70" s="14">
        <v>0.81967213114754101</v>
      </c>
      <c r="O70" s="14">
        <f t="shared" si="16"/>
        <v>0.16393442622950818</v>
      </c>
      <c r="P70" s="14">
        <v>9.8360655737704916E-2</v>
      </c>
      <c r="Q70" s="14">
        <v>4.9180327868852458E-2</v>
      </c>
      <c r="R70" s="14">
        <v>1.6393442622950821E-2</v>
      </c>
      <c r="S70" s="14">
        <v>0</v>
      </c>
      <c r="T70" s="19">
        <f t="shared" si="17"/>
        <v>0.60009345794392521</v>
      </c>
      <c r="U70" s="19">
        <f t="shared" si="18"/>
        <v>60.009345794392523</v>
      </c>
      <c r="V70" s="126">
        <v>27</v>
      </c>
      <c r="W70" s="126">
        <v>63</v>
      </c>
      <c r="X70" s="127">
        <f t="shared" si="19"/>
        <v>0.63</v>
      </c>
      <c r="Y70" s="127">
        <f t="shared" si="20"/>
        <v>-9.5089749295356851E-2</v>
      </c>
      <c r="Z70" s="127">
        <v>-0.1</v>
      </c>
    </row>
    <row r="71" spans="1:26">
      <c r="A71" s="121">
        <v>42</v>
      </c>
      <c r="B71" s="122" t="s">
        <v>17</v>
      </c>
      <c r="C71" s="122" t="s">
        <v>139</v>
      </c>
      <c r="D71" s="122">
        <v>487</v>
      </c>
      <c r="E71" s="123">
        <v>494</v>
      </c>
      <c r="F71" s="39">
        <f t="shared" si="14"/>
        <v>149</v>
      </c>
      <c r="G71" s="124">
        <v>0.30161943319838058</v>
      </c>
      <c r="H71" s="121">
        <v>134</v>
      </c>
      <c r="I71" s="19">
        <f t="shared" si="15"/>
        <v>13</v>
      </c>
      <c r="J71" s="112">
        <v>1</v>
      </c>
      <c r="K71" s="112">
        <v>11</v>
      </c>
      <c r="L71" s="112">
        <v>1</v>
      </c>
      <c r="M71" s="112">
        <v>0</v>
      </c>
      <c r="N71" s="14">
        <v>0.89932885906040272</v>
      </c>
      <c r="O71" s="14">
        <f t="shared" si="16"/>
        <v>8.724832214765102E-2</v>
      </c>
      <c r="P71" s="14">
        <v>6.7114093959731542E-3</v>
      </c>
      <c r="Q71" s="14">
        <v>7.3825503355704702E-2</v>
      </c>
      <c r="R71" s="14">
        <v>6.7114093959731542E-3</v>
      </c>
      <c r="S71" s="14">
        <v>0</v>
      </c>
      <c r="T71" s="19">
        <f t="shared" si="17"/>
        <v>0.35161943319838057</v>
      </c>
      <c r="U71" s="19">
        <f t="shared" si="18"/>
        <v>171.23866396761133</v>
      </c>
      <c r="V71" s="126">
        <v>78</v>
      </c>
      <c r="W71" s="126">
        <v>165</v>
      </c>
      <c r="X71" s="127">
        <f t="shared" si="19"/>
        <v>0.33880903490759756</v>
      </c>
      <c r="Y71" s="127">
        <f t="shared" si="20"/>
        <v>-0.10976567292356765</v>
      </c>
      <c r="Z71" s="127">
        <v>-0.11</v>
      </c>
    </row>
    <row r="72" spans="1:26">
      <c r="A72" s="19">
        <v>69</v>
      </c>
      <c r="B72" s="3" t="s">
        <v>192</v>
      </c>
      <c r="C72" s="3" t="s">
        <v>193</v>
      </c>
      <c r="D72" s="3">
        <v>148</v>
      </c>
      <c r="E72" s="11">
        <v>158</v>
      </c>
      <c r="F72" s="39">
        <f t="shared" si="14"/>
        <v>54</v>
      </c>
      <c r="G72" s="14">
        <v>0.34177215189873417</v>
      </c>
      <c r="H72" s="19">
        <v>41</v>
      </c>
      <c r="I72" s="19">
        <f t="shared" si="15"/>
        <v>13</v>
      </c>
      <c r="J72" s="19">
        <v>6</v>
      </c>
      <c r="K72" s="19">
        <v>5</v>
      </c>
      <c r="L72" s="19">
        <v>2</v>
      </c>
      <c r="M72" s="19">
        <v>0</v>
      </c>
      <c r="N72" s="14">
        <v>0.7592592592592593</v>
      </c>
      <c r="O72" s="14">
        <f t="shared" si="16"/>
        <v>0.24074074074074073</v>
      </c>
      <c r="P72" s="14">
        <v>0.1111111111111111</v>
      </c>
      <c r="Q72" s="14">
        <v>9.2592592592592587E-2</v>
      </c>
      <c r="R72" s="14">
        <v>3.7037037037037035E-2</v>
      </c>
      <c r="S72" s="14">
        <v>0</v>
      </c>
      <c r="T72" s="19">
        <f t="shared" si="17"/>
        <v>0.39177215189873416</v>
      </c>
      <c r="U72" s="19">
        <f t="shared" si="18"/>
        <v>57.982278481012656</v>
      </c>
      <c r="V72" s="126">
        <v>30</v>
      </c>
      <c r="W72" s="126">
        <v>57</v>
      </c>
      <c r="X72" s="127">
        <f t="shared" si="19"/>
        <v>0.38513513513513514</v>
      </c>
      <c r="Y72" s="127">
        <f t="shared" si="20"/>
        <v>-0.11259160559626924</v>
      </c>
      <c r="Z72" s="127">
        <v>-0.11</v>
      </c>
    </row>
    <row r="73" spans="1:26">
      <c r="A73" s="121">
        <v>36</v>
      </c>
      <c r="B73" s="122" t="s">
        <v>125</v>
      </c>
      <c r="C73" s="122" t="s">
        <v>126</v>
      </c>
      <c r="D73" s="122">
        <v>386</v>
      </c>
      <c r="E73" s="123">
        <v>400</v>
      </c>
      <c r="F73" s="39">
        <f t="shared" si="14"/>
        <v>102</v>
      </c>
      <c r="G73" s="124">
        <v>0.255</v>
      </c>
      <c r="H73" s="121">
        <v>92</v>
      </c>
      <c r="I73" s="19">
        <f t="shared" si="15"/>
        <v>8</v>
      </c>
      <c r="J73" s="112">
        <v>0</v>
      </c>
      <c r="K73" s="112">
        <v>8</v>
      </c>
      <c r="L73" s="112">
        <v>0</v>
      </c>
      <c r="M73" s="112">
        <v>0</v>
      </c>
      <c r="N73" s="14">
        <v>0.90196078431372551</v>
      </c>
      <c r="O73" s="14">
        <f t="shared" si="16"/>
        <v>7.8431372549019607E-2</v>
      </c>
      <c r="P73" s="14">
        <v>0</v>
      </c>
      <c r="Q73" s="14">
        <v>7.8431372549019607E-2</v>
      </c>
      <c r="R73" s="14">
        <v>0</v>
      </c>
      <c r="S73" s="14">
        <v>0</v>
      </c>
      <c r="T73" s="19">
        <f t="shared" si="17"/>
        <v>0.30499999999999999</v>
      </c>
      <c r="U73" s="19">
        <f t="shared" si="18"/>
        <v>117.73</v>
      </c>
      <c r="V73" s="126">
        <v>64</v>
      </c>
      <c r="W73" s="126">
        <v>113</v>
      </c>
      <c r="X73" s="127">
        <f t="shared" si="19"/>
        <v>0.29274611398963729</v>
      </c>
      <c r="Y73" s="127">
        <f t="shared" si="20"/>
        <v>-0.12893805309734507</v>
      </c>
      <c r="Z73" s="127">
        <v>-0.13</v>
      </c>
    </row>
    <row r="75" spans="1:26" ht="28.85" customHeight="1">
      <c r="A75" s="120"/>
      <c r="B75" s="128"/>
      <c r="C75" s="128"/>
      <c r="D75" s="128"/>
      <c r="E75" s="128"/>
      <c r="F75" s="128"/>
      <c r="G75" s="128"/>
    </row>
    <row r="76" spans="1:26" ht="28.85" customHeight="1">
      <c r="A76" s="120"/>
      <c r="B76" s="128"/>
      <c r="C76" s="128"/>
      <c r="D76" s="128"/>
      <c r="E76" s="128"/>
      <c r="F76" s="128"/>
      <c r="G76" s="128"/>
    </row>
    <row r="77" spans="1:26" ht="28.85" customHeight="1">
      <c r="A77" s="120"/>
      <c r="B77" s="128"/>
      <c r="C77" s="128"/>
      <c r="D77" s="128"/>
      <c r="E77" s="128"/>
      <c r="F77" s="128"/>
      <c r="G77" s="128"/>
    </row>
  </sheetData>
  <autoFilter ref="A1:Z73" xr:uid="{C446C660-56A6-40A8-B8C2-A663FAD6408A}">
    <sortState xmlns:xlrd2="http://schemas.microsoft.com/office/spreadsheetml/2017/richdata2" ref="A2:Z73">
      <sortCondition descending="1" ref="Y1:Y73"/>
    </sortState>
  </autoFilter>
  <sortState xmlns:xlrd2="http://schemas.microsoft.com/office/spreadsheetml/2017/richdata2" ref="A2:X73">
    <sortCondition descending="1" ref="X2:X7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29A9-589A-4303-BB1B-C5101045F757}">
  <dimension ref="A1:J28"/>
  <sheetViews>
    <sheetView workbookViewId="0">
      <selection sqref="A1:G4"/>
    </sheetView>
  </sheetViews>
  <sheetFormatPr defaultRowHeight="14.6"/>
  <sheetData>
    <row r="1" spans="1:10" ht="29.15">
      <c r="A1" s="34"/>
      <c r="B1" s="35" t="s">
        <v>430</v>
      </c>
      <c r="C1" s="31" t="s">
        <v>431</v>
      </c>
      <c r="D1" s="31" t="s">
        <v>427</v>
      </c>
      <c r="E1" s="31" t="s">
        <v>428</v>
      </c>
      <c r="F1" s="31" t="s">
        <v>429</v>
      </c>
      <c r="G1" s="32" t="s">
        <v>493</v>
      </c>
    </row>
    <row r="2" spans="1:10" s="17" customFormat="1">
      <c r="A2" s="53">
        <v>2025</v>
      </c>
      <c r="B2" s="43">
        <v>14199</v>
      </c>
      <c r="C2" s="43">
        <v>1036</v>
      </c>
      <c r="D2" s="44">
        <v>12596</v>
      </c>
      <c r="E2" s="43">
        <v>591</v>
      </c>
      <c r="F2" s="43">
        <v>289</v>
      </c>
      <c r="G2" s="45">
        <v>47353</v>
      </c>
    </row>
    <row r="3" spans="1:10">
      <c r="A3" s="51">
        <v>2023</v>
      </c>
      <c r="B3" s="37">
        <v>14196</v>
      </c>
      <c r="C3" s="37">
        <v>2176</v>
      </c>
      <c r="D3" s="37">
        <v>6205</v>
      </c>
      <c r="E3" s="37">
        <v>1254</v>
      </c>
      <c r="F3" s="37">
        <v>253</v>
      </c>
      <c r="G3" s="38">
        <v>47864</v>
      </c>
    </row>
    <row r="4" spans="1:10">
      <c r="A4" s="52">
        <v>2022</v>
      </c>
      <c r="B4" s="47">
        <v>15447</v>
      </c>
      <c r="C4" s="47">
        <v>4367</v>
      </c>
      <c r="D4" s="47">
        <v>4831</v>
      </c>
      <c r="E4" s="47">
        <v>0</v>
      </c>
      <c r="F4" s="47">
        <v>239</v>
      </c>
      <c r="G4" s="48">
        <v>0</v>
      </c>
    </row>
    <row r="5" spans="1:10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5" spans="1:10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spans="1:10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spans="1:10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spans="1:10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spans="1:10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>
      <c r="A28" s="33"/>
      <c r="B28" s="33"/>
      <c r="C28" s="33"/>
      <c r="D28" s="33"/>
      <c r="E28" s="33"/>
      <c r="F28" s="33"/>
      <c r="G28" s="33"/>
      <c r="H28" s="33"/>
      <c r="I28" s="33"/>
      <c r="J2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C8B2-9823-46E1-ACEB-86D466447E0F}">
  <dimension ref="A1:I29"/>
  <sheetViews>
    <sheetView workbookViewId="0">
      <selection sqref="A1:G4"/>
    </sheetView>
  </sheetViews>
  <sheetFormatPr defaultRowHeight="14.6"/>
  <sheetData>
    <row r="1" spans="1:9" ht="29.15">
      <c r="A1" s="49"/>
      <c r="B1" s="31" t="s">
        <v>430</v>
      </c>
      <c r="C1" s="31" t="s">
        <v>431</v>
      </c>
      <c r="D1" s="31" t="s">
        <v>427</v>
      </c>
      <c r="E1" s="31" t="s">
        <v>428</v>
      </c>
      <c r="F1" s="31" t="s">
        <v>429</v>
      </c>
      <c r="G1" s="32" t="s">
        <v>493</v>
      </c>
    </row>
    <row r="2" spans="1:9" s="17" customFormat="1">
      <c r="A2" s="50">
        <v>2025</v>
      </c>
      <c r="B2" s="42">
        <v>3686</v>
      </c>
      <c r="C2" s="43">
        <v>48</v>
      </c>
      <c r="D2" s="44">
        <v>3635</v>
      </c>
      <c r="E2" s="43">
        <v>0</v>
      </c>
      <c r="F2" s="43">
        <v>0</v>
      </c>
      <c r="G2" s="45">
        <v>8897</v>
      </c>
    </row>
    <row r="3" spans="1:9">
      <c r="A3" s="51">
        <v>2023</v>
      </c>
      <c r="B3" s="36">
        <v>3547</v>
      </c>
      <c r="C3" s="37">
        <v>758</v>
      </c>
      <c r="D3" s="37">
        <v>1429</v>
      </c>
      <c r="E3" s="37">
        <v>279</v>
      </c>
      <c r="F3" s="37">
        <v>36</v>
      </c>
      <c r="G3" s="38">
        <v>9002</v>
      </c>
    </row>
    <row r="4" spans="1:9">
      <c r="A4" s="52">
        <v>2022</v>
      </c>
      <c r="B4" s="46">
        <v>3623</v>
      </c>
      <c r="C4" s="47">
        <v>1296</v>
      </c>
      <c r="D4" s="47">
        <v>1015</v>
      </c>
      <c r="E4" s="47">
        <v>0</v>
      </c>
      <c r="F4" s="47">
        <v>35</v>
      </c>
      <c r="G4" s="48"/>
    </row>
    <row r="5" spans="1:9">
      <c r="A5" s="33"/>
      <c r="B5" s="33"/>
      <c r="C5" s="33"/>
      <c r="D5" s="33"/>
      <c r="E5" s="33"/>
      <c r="F5" s="33"/>
      <c r="G5" s="33"/>
      <c r="H5" s="33"/>
      <c r="I5" s="33"/>
    </row>
    <row r="6" spans="1:9">
      <c r="A6" s="33"/>
      <c r="B6" s="33"/>
      <c r="C6" s="33"/>
      <c r="D6" s="33"/>
      <c r="E6" s="33"/>
      <c r="F6" s="33"/>
      <c r="G6" s="33"/>
      <c r="H6" s="33"/>
      <c r="I6" s="33"/>
    </row>
    <row r="7" spans="1:9">
      <c r="A7" s="33"/>
      <c r="B7" s="33"/>
      <c r="C7" s="33"/>
      <c r="D7" s="33"/>
      <c r="E7" s="33"/>
      <c r="F7" s="33"/>
      <c r="G7" s="33"/>
      <c r="H7" s="33"/>
      <c r="I7" s="33"/>
    </row>
    <row r="8" spans="1:9">
      <c r="A8" s="33"/>
      <c r="B8" s="33"/>
      <c r="C8" s="33"/>
      <c r="D8" s="33"/>
      <c r="E8" s="33"/>
      <c r="F8" s="33"/>
      <c r="G8" s="33"/>
      <c r="H8" s="33"/>
      <c r="I8" s="33"/>
    </row>
    <row r="9" spans="1:9">
      <c r="A9" s="33"/>
      <c r="B9" s="33"/>
      <c r="C9" s="33"/>
      <c r="D9" s="33"/>
      <c r="E9" s="33"/>
      <c r="F9" s="33"/>
      <c r="G9" s="33"/>
      <c r="H9" s="33"/>
      <c r="I9" s="33"/>
    </row>
    <row r="10" spans="1:9">
      <c r="A10" s="33"/>
      <c r="B10" s="33"/>
      <c r="C10" s="33"/>
      <c r="D10" s="33"/>
      <c r="E10" s="33"/>
      <c r="F10" s="33"/>
      <c r="G10" s="33"/>
      <c r="H10" s="33"/>
      <c r="I10" s="33"/>
    </row>
    <row r="11" spans="1:9">
      <c r="A11" s="33"/>
      <c r="B11" s="33"/>
      <c r="C11" s="33"/>
      <c r="D11" s="33"/>
      <c r="E11" s="33"/>
      <c r="F11" s="33"/>
      <c r="G11" s="33"/>
      <c r="H11" s="33"/>
      <c r="I11" s="33"/>
    </row>
    <row r="12" spans="1:9">
      <c r="A12" s="33"/>
      <c r="B12" s="33"/>
      <c r="C12" s="33"/>
      <c r="D12" s="33"/>
      <c r="E12" s="33"/>
      <c r="F12" s="33"/>
      <c r="G12" s="33"/>
      <c r="H12" s="33"/>
      <c r="I12" s="33"/>
    </row>
    <row r="13" spans="1:9">
      <c r="A13" s="33"/>
      <c r="B13" s="33"/>
      <c r="C13" s="33"/>
      <c r="D13" s="33"/>
      <c r="E13" s="33"/>
      <c r="F13" s="33"/>
      <c r="G13" s="33"/>
      <c r="H13" s="33"/>
      <c r="I13" s="33"/>
    </row>
    <row r="14" spans="1:9">
      <c r="A14" s="33"/>
      <c r="B14" s="33"/>
      <c r="C14" s="33"/>
      <c r="D14" s="33"/>
      <c r="E14" s="33"/>
      <c r="F14" s="33"/>
      <c r="G14" s="33"/>
      <c r="H14" s="33"/>
      <c r="I14" s="33"/>
    </row>
    <row r="15" spans="1:9">
      <c r="A15" s="33"/>
      <c r="B15" s="33"/>
      <c r="C15" s="33"/>
      <c r="D15" s="33"/>
      <c r="E15" s="33"/>
      <c r="F15" s="33"/>
      <c r="G15" s="33"/>
      <c r="H15" s="33"/>
      <c r="I15" s="33"/>
    </row>
    <row r="16" spans="1:9">
      <c r="A16" s="33"/>
      <c r="B16" s="33"/>
      <c r="C16" s="33"/>
      <c r="D16" s="33"/>
      <c r="E16" s="33"/>
      <c r="F16" s="33"/>
      <c r="G16" s="33"/>
      <c r="H16" s="33"/>
      <c r="I16" s="33"/>
    </row>
    <row r="17" spans="1:9">
      <c r="A17" s="33"/>
      <c r="B17" s="33"/>
      <c r="C17" s="33"/>
      <c r="D17" s="33"/>
      <c r="E17" s="33"/>
      <c r="F17" s="33"/>
      <c r="G17" s="33"/>
      <c r="H17" s="33"/>
      <c r="I17" s="33"/>
    </row>
    <row r="18" spans="1:9">
      <c r="A18" s="33"/>
      <c r="B18" s="33"/>
      <c r="C18" s="33"/>
      <c r="D18" s="33"/>
      <c r="E18" s="33"/>
      <c r="F18" s="33"/>
      <c r="G18" s="33"/>
      <c r="H18" s="33"/>
      <c r="I18" s="33"/>
    </row>
    <row r="19" spans="1:9">
      <c r="A19" s="33"/>
      <c r="B19" s="33"/>
      <c r="C19" s="33"/>
      <c r="D19" s="33"/>
      <c r="E19" s="33"/>
      <c r="F19" s="33"/>
      <c r="G19" s="33"/>
      <c r="H19" s="33"/>
      <c r="I19" s="33"/>
    </row>
    <row r="20" spans="1:9">
      <c r="A20" s="33"/>
      <c r="B20" s="33"/>
      <c r="C20" s="33"/>
      <c r="D20" s="33"/>
      <c r="E20" s="33"/>
      <c r="F20" s="33"/>
      <c r="G20" s="33"/>
      <c r="H20" s="33"/>
      <c r="I20" s="33"/>
    </row>
    <row r="21" spans="1:9">
      <c r="A21" s="33"/>
      <c r="B21" s="33"/>
      <c r="C21" s="33"/>
      <c r="D21" s="33"/>
      <c r="E21" s="33"/>
      <c r="F21" s="33"/>
      <c r="G21" s="33"/>
      <c r="H21" s="33"/>
      <c r="I21" s="33"/>
    </row>
    <row r="22" spans="1:9">
      <c r="A22" s="33"/>
      <c r="B22" s="33"/>
      <c r="C22" s="33"/>
      <c r="D22" s="33"/>
      <c r="E22" s="33"/>
      <c r="F22" s="33"/>
      <c r="G22" s="33"/>
      <c r="H22" s="33"/>
      <c r="I22" s="33"/>
    </row>
    <row r="23" spans="1:9">
      <c r="A23" s="33"/>
      <c r="B23" s="33"/>
      <c r="C23" s="33"/>
      <c r="D23" s="33"/>
      <c r="E23" s="33"/>
      <c r="F23" s="33"/>
      <c r="G23" s="33"/>
      <c r="H23" s="33"/>
      <c r="I23" s="33"/>
    </row>
    <row r="24" spans="1:9">
      <c r="A24" s="33"/>
      <c r="B24" s="33"/>
      <c r="C24" s="33"/>
      <c r="D24" s="33"/>
      <c r="E24" s="33"/>
      <c r="F24" s="33"/>
      <c r="G24" s="33"/>
      <c r="H24" s="33"/>
      <c r="I24" s="33"/>
    </row>
    <row r="25" spans="1:9">
      <c r="A25" s="33"/>
      <c r="B25" s="33"/>
      <c r="C25" s="33"/>
      <c r="D25" s="33"/>
      <c r="E25" s="33"/>
      <c r="F25" s="33"/>
      <c r="G25" s="33"/>
      <c r="H25" s="33"/>
      <c r="I25" s="33"/>
    </row>
    <row r="26" spans="1:9">
      <c r="A26" s="33"/>
      <c r="B26" s="33"/>
      <c r="C26" s="33"/>
      <c r="D26" s="33"/>
      <c r="E26" s="33"/>
      <c r="F26" s="33"/>
      <c r="G26" s="33"/>
      <c r="H26" s="33"/>
      <c r="I26" s="33"/>
    </row>
    <row r="27" spans="1:9">
      <c r="A27" s="33"/>
      <c r="B27" s="33"/>
      <c r="C27" s="33"/>
      <c r="D27" s="33"/>
      <c r="E27" s="33"/>
      <c r="F27" s="33"/>
      <c r="G27" s="33"/>
      <c r="H27" s="33"/>
      <c r="I27" s="33"/>
    </row>
    <row r="28" spans="1:9">
      <c r="A28" s="33"/>
      <c r="B28" s="33"/>
      <c r="C28" s="33"/>
      <c r="D28" s="33"/>
      <c r="E28" s="33"/>
      <c r="F28" s="33"/>
      <c r="G28" s="33"/>
      <c r="H28" s="33"/>
      <c r="I28" s="33"/>
    </row>
    <row r="29" spans="1:9">
      <c r="A29" s="33"/>
      <c r="B29" s="33"/>
      <c r="C29" s="33"/>
      <c r="D29" s="33"/>
      <c r="E29" s="33"/>
      <c r="F29" s="33"/>
      <c r="G29" s="33"/>
      <c r="H29" s="33"/>
      <c r="I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A59F-2C0B-47EF-89EF-CA6F0BDE315F}">
  <dimension ref="A1:G33"/>
  <sheetViews>
    <sheetView workbookViewId="0">
      <selection activeCell="D3" sqref="D3"/>
    </sheetView>
  </sheetViews>
  <sheetFormatPr defaultRowHeight="14.6"/>
  <sheetData>
    <row r="1" spans="1:7" ht="29.15">
      <c r="A1" s="55"/>
      <c r="B1" s="62" t="s">
        <v>430</v>
      </c>
      <c r="C1" s="63" t="s">
        <v>431</v>
      </c>
      <c r="D1" s="63" t="s">
        <v>427</v>
      </c>
      <c r="E1" s="63" t="s">
        <v>428</v>
      </c>
      <c r="F1" s="63" t="s">
        <v>429</v>
      </c>
      <c r="G1" s="64" t="s">
        <v>493</v>
      </c>
    </row>
    <row r="2" spans="1:7" s="17" customFormat="1">
      <c r="A2" s="59">
        <v>2025</v>
      </c>
      <c r="B2" s="40"/>
      <c r="C2" s="40"/>
      <c r="D2" s="41"/>
      <c r="E2" s="40"/>
      <c r="F2" s="40"/>
      <c r="G2" s="54">
        <v>35914</v>
      </c>
    </row>
    <row r="3" spans="1:7">
      <c r="A3" s="60">
        <v>2023</v>
      </c>
      <c r="B3" s="37">
        <v>12011</v>
      </c>
      <c r="C3" s="37">
        <v>755</v>
      </c>
      <c r="D3" s="37">
        <v>2667</v>
      </c>
      <c r="E3" s="37">
        <v>427</v>
      </c>
      <c r="F3" s="37">
        <v>110</v>
      </c>
      <c r="G3" s="38">
        <v>35914</v>
      </c>
    </row>
    <row r="4" spans="1:7">
      <c r="A4" s="61">
        <v>2022</v>
      </c>
      <c r="B4" s="47">
        <v>12441</v>
      </c>
      <c r="C4" s="47">
        <v>1629</v>
      </c>
      <c r="D4" s="47">
        <v>2144</v>
      </c>
      <c r="E4" s="47">
        <v>0</v>
      </c>
      <c r="F4" s="47">
        <v>98</v>
      </c>
      <c r="G4" s="48"/>
    </row>
    <row r="5" spans="1:7">
      <c r="A5" s="33"/>
      <c r="B5" s="33"/>
      <c r="C5" s="33"/>
      <c r="D5" s="33"/>
      <c r="E5" s="33"/>
      <c r="F5" s="33"/>
      <c r="G5" s="33"/>
    </row>
    <row r="6" spans="1:7">
      <c r="A6" s="33"/>
      <c r="B6" s="33"/>
      <c r="C6" s="33"/>
      <c r="D6" s="33"/>
      <c r="E6" s="33"/>
      <c r="F6" s="33"/>
      <c r="G6" s="33"/>
    </row>
    <row r="7" spans="1:7">
      <c r="A7" s="33"/>
      <c r="B7" s="33"/>
      <c r="C7" s="33"/>
      <c r="D7" s="33"/>
      <c r="E7" s="33"/>
      <c r="F7" s="33"/>
      <c r="G7" s="33"/>
    </row>
    <row r="8" spans="1:7">
      <c r="A8" s="33"/>
      <c r="B8" s="33"/>
      <c r="C8" s="33"/>
      <c r="D8" s="33"/>
      <c r="E8" s="33"/>
      <c r="F8" s="33"/>
      <c r="G8" s="33"/>
    </row>
    <row r="9" spans="1:7">
      <c r="A9" s="33"/>
      <c r="B9" s="33"/>
      <c r="C9" s="33"/>
      <c r="D9" s="33"/>
      <c r="E9" s="33"/>
      <c r="F9" s="33"/>
      <c r="G9" s="33"/>
    </row>
    <row r="10" spans="1:7">
      <c r="A10" s="33"/>
      <c r="B10" s="33"/>
      <c r="C10" s="33"/>
      <c r="D10" s="33"/>
      <c r="E10" s="33"/>
      <c r="F10" s="33"/>
      <c r="G10" s="33"/>
    </row>
    <row r="11" spans="1:7">
      <c r="A11" s="33"/>
      <c r="B11" s="33"/>
      <c r="C11" s="33"/>
      <c r="D11" s="33"/>
      <c r="E11" s="33"/>
      <c r="F11" s="33"/>
      <c r="G11" s="33"/>
    </row>
    <row r="12" spans="1:7">
      <c r="A12" s="33"/>
      <c r="B12" s="33"/>
      <c r="C12" s="33"/>
      <c r="D12" s="33"/>
      <c r="E12" s="33"/>
      <c r="F12" s="33"/>
      <c r="G12" s="33"/>
    </row>
    <row r="13" spans="1:7">
      <c r="A13" s="33"/>
      <c r="B13" s="33"/>
      <c r="C13" s="33"/>
      <c r="D13" s="33"/>
      <c r="E13" s="33"/>
      <c r="F13" s="33"/>
      <c r="G13" s="33"/>
    </row>
    <row r="14" spans="1:7">
      <c r="A14" s="33"/>
      <c r="B14" s="33"/>
      <c r="C14" s="33"/>
      <c r="D14" s="33"/>
      <c r="E14" s="33"/>
      <c r="F14" s="33"/>
      <c r="G14" s="33"/>
    </row>
    <row r="15" spans="1:7">
      <c r="A15" s="33"/>
      <c r="B15" s="33"/>
      <c r="C15" s="33"/>
      <c r="D15" s="33"/>
      <c r="E15" s="33"/>
      <c r="F15" s="33"/>
      <c r="G15" s="33"/>
    </row>
    <row r="16" spans="1:7">
      <c r="A16" s="33"/>
      <c r="B16" s="33"/>
      <c r="C16" s="33"/>
      <c r="D16" s="33"/>
      <c r="E16" s="33"/>
      <c r="F16" s="33"/>
      <c r="G16" s="33"/>
    </row>
    <row r="17" spans="1:7">
      <c r="A17" s="33"/>
      <c r="B17" s="33"/>
      <c r="C17" s="33"/>
      <c r="D17" s="33"/>
      <c r="E17" s="33"/>
      <c r="F17" s="33"/>
      <c r="G17" s="33"/>
    </row>
    <row r="18" spans="1:7">
      <c r="A18" s="33"/>
      <c r="B18" s="33"/>
      <c r="C18" s="33"/>
      <c r="D18" s="33"/>
      <c r="E18" s="33"/>
      <c r="F18" s="33"/>
      <c r="G18" s="33"/>
    </row>
    <row r="19" spans="1:7">
      <c r="A19" s="33"/>
      <c r="B19" s="33"/>
      <c r="C19" s="33"/>
      <c r="D19" s="33"/>
      <c r="E19" s="33"/>
      <c r="F19" s="33"/>
      <c r="G19" s="33"/>
    </row>
    <row r="20" spans="1:7">
      <c r="A20" s="33"/>
      <c r="B20" s="33"/>
      <c r="C20" s="33"/>
      <c r="D20" s="33"/>
      <c r="E20" s="33"/>
      <c r="F20" s="33"/>
      <c r="G20" s="33"/>
    </row>
    <row r="21" spans="1:7">
      <c r="A21" s="33"/>
      <c r="B21" s="33"/>
      <c r="C21" s="33"/>
      <c r="D21" s="33"/>
      <c r="E21" s="33"/>
      <c r="F21" s="33"/>
      <c r="G21" s="33"/>
    </row>
    <row r="22" spans="1:7">
      <c r="A22" s="33"/>
      <c r="B22" s="33"/>
      <c r="C22" s="33"/>
      <c r="D22" s="33"/>
      <c r="E22" s="33"/>
      <c r="F22" s="33"/>
      <c r="G22" s="33"/>
    </row>
    <row r="23" spans="1:7">
      <c r="A23" s="33"/>
      <c r="B23" s="33"/>
      <c r="C23" s="33"/>
      <c r="D23" s="33"/>
      <c r="E23" s="33"/>
      <c r="F23" s="33"/>
      <c r="G23" s="33"/>
    </row>
    <row r="24" spans="1:7">
      <c r="A24" s="33"/>
      <c r="B24" s="33"/>
      <c r="C24" s="33"/>
      <c r="D24" s="33"/>
      <c r="E24" s="33"/>
      <c r="F24" s="33"/>
      <c r="G24" s="33"/>
    </row>
    <row r="25" spans="1:7">
      <c r="A25" s="33"/>
      <c r="B25" s="33"/>
      <c r="C25" s="33"/>
      <c r="D25" s="33"/>
      <c r="E25" s="33"/>
      <c r="F25" s="33"/>
      <c r="G25" s="33"/>
    </row>
    <row r="26" spans="1:7">
      <c r="A26" s="33"/>
      <c r="B26" s="33"/>
      <c r="C26" s="33"/>
      <c r="D26" s="33"/>
      <c r="E26" s="33"/>
      <c r="F26" s="33"/>
      <c r="G26" s="33"/>
    </row>
    <row r="27" spans="1:7">
      <c r="A27" s="33"/>
      <c r="B27" s="33"/>
      <c r="C27" s="33"/>
      <c r="D27" s="33"/>
      <c r="E27" s="33"/>
      <c r="F27" s="33"/>
      <c r="G27" s="33"/>
    </row>
    <row r="28" spans="1:7">
      <c r="A28" s="33"/>
      <c r="B28" s="33"/>
      <c r="C28" s="33"/>
      <c r="D28" s="33"/>
      <c r="E28" s="33"/>
      <c r="F28" s="33"/>
      <c r="G28" s="33"/>
    </row>
    <row r="29" spans="1:7">
      <c r="A29" s="33"/>
      <c r="B29" s="33"/>
      <c r="C29" s="33"/>
      <c r="D29" s="33"/>
      <c r="E29" s="33"/>
      <c r="F29" s="33"/>
      <c r="G29" s="33"/>
    </row>
    <row r="30" spans="1:7">
      <c r="A30" s="33"/>
      <c r="B30" s="33"/>
      <c r="C30" s="33"/>
      <c r="D30" s="33"/>
      <c r="E30" s="33"/>
      <c r="F30" s="33"/>
      <c r="G30" s="33"/>
    </row>
    <row r="31" spans="1:7">
      <c r="A31" s="33"/>
      <c r="B31" s="33"/>
      <c r="C31" s="33"/>
      <c r="D31" s="33"/>
      <c r="E31" s="33"/>
      <c r="F31" s="33"/>
      <c r="G31" s="33"/>
    </row>
    <row r="32" spans="1:7">
      <c r="A32" s="33"/>
      <c r="B32" s="33"/>
      <c r="C32" s="33"/>
      <c r="D32" s="33"/>
      <c r="E32" s="33"/>
      <c r="F32" s="33"/>
      <c r="G32" s="33"/>
    </row>
    <row r="33" spans="1:7">
      <c r="A33" s="33"/>
      <c r="B33" s="33"/>
      <c r="C33" s="33"/>
      <c r="D33" s="33"/>
      <c r="E33" s="33"/>
      <c r="F33" s="33"/>
      <c r="G33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AE22-806F-4262-A850-45E39AFA77FD}">
  <dimension ref="A1:V9"/>
  <sheetViews>
    <sheetView workbookViewId="0">
      <selection activeCell="I5" sqref="I5"/>
    </sheetView>
  </sheetViews>
  <sheetFormatPr defaultRowHeight="14.6"/>
  <cols>
    <col min="1" max="1" width="21.84375" customWidth="1"/>
    <col min="16" max="16" width="9.765625" customWidth="1"/>
  </cols>
  <sheetData>
    <row r="1" spans="1:22">
      <c r="A1" s="65"/>
      <c r="B1" s="141" t="s">
        <v>595</v>
      </c>
      <c r="C1" s="141"/>
      <c r="D1" s="141"/>
      <c r="E1" s="141"/>
      <c r="F1" s="141"/>
      <c r="G1" s="141"/>
      <c r="H1" s="142"/>
      <c r="I1" s="140" t="s">
        <v>596</v>
      </c>
      <c r="J1" s="141"/>
      <c r="K1" s="141"/>
      <c r="L1" s="141"/>
      <c r="M1" s="141"/>
      <c r="N1" s="141"/>
      <c r="O1" s="142"/>
      <c r="P1" s="140" t="s">
        <v>597</v>
      </c>
      <c r="Q1" s="141"/>
      <c r="R1" s="141"/>
      <c r="S1" s="141"/>
      <c r="T1" s="141"/>
      <c r="U1" s="141"/>
      <c r="V1" s="141"/>
    </row>
    <row r="2" spans="1:22" ht="29.15">
      <c r="A2" s="70"/>
      <c r="B2" s="67" t="s">
        <v>430</v>
      </c>
      <c r="C2" s="56" t="s">
        <v>431</v>
      </c>
      <c r="D2" s="56" t="s">
        <v>427</v>
      </c>
      <c r="E2" s="56" t="s">
        <v>428</v>
      </c>
      <c r="F2" s="56" t="s">
        <v>429</v>
      </c>
      <c r="G2" s="68" t="s">
        <v>493</v>
      </c>
      <c r="H2" s="86" t="s">
        <v>432</v>
      </c>
      <c r="I2" s="56" t="s">
        <v>430</v>
      </c>
      <c r="J2" s="56" t="s">
        <v>431</v>
      </c>
      <c r="K2" s="56" t="s">
        <v>427</v>
      </c>
      <c r="L2" s="56" t="s">
        <v>428</v>
      </c>
      <c r="M2" s="56" t="s">
        <v>429</v>
      </c>
      <c r="N2" s="57" t="s">
        <v>493</v>
      </c>
      <c r="O2" s="68" t="s">
        <v>432</v>
      </c>
      <c r="P2" s="67" t="s">
        <v>430</v>
      </c>
      <c r="Q2" s="56" t="s">
        <v>431</v>
      </c>
      <c r="R2" s="56" t="s">
        <v>427</v>
      </c>
      <c r="S2" s="56" t="s">
        <v>428</v>
      </c>
      <c r="T2" s="56" t="s">
        <v>429</v>
      </c>
      <c r="U2" s="57" t="s">
        <v>493</v>
      </c>
      <c r="V2" s="84" t="s">
        <v>432</v>
      </c>
    </row>
    <row r="3" spans="1:22">
      <c r="A3" s="82">
        <v>2022</v>
      </c>
      <c r="B3" s="73">
        <v>15447</v>
      </c>
      <c r="C3" s="68">
        <v>4367</v>
      </c>
      <c r="D3" s="68">
        <v>4831</v>
      </c>
      <c r="E3" s="68">
        <v>0</v>
      </c>
      <c r="F3" s="68">
        <v>239</v>
      </c>
      <c r="G3" s="68">
        <v>0</v>
      </c>
      <c r="H3" s="86"/>
      <c r="I3" s="68">
        <v>3623</v>
      </c>
      <c r="J3" s="68">
        <v>1296</v>
      </c>
      <c r="K3" s="68">
        <v>1015</v>
      </c>
      <c r="L3" s="68">
        <v>0</v>
      </c>
      <c r="M3" s="68">
        <v>35</v>
      </c>
      <c r="N3" s="57"/>
      <c r="O3" s="86"/>
      <c r="P3" s="68">
        <v>12441</v>
      </c>
      <c r="Q3" s="68">
        <v>1629</v>
      </c>
      <c r="R3" s="68">
        <v>2144</v>
      </c>
      <c r="S3" s="68">
        <v>0</v>
      </c>
      <c r="T3" s="68">
        <v>98</v>
      </c>
      <c r="U3" s="57"/>
      <c r="V3" s="60"/>
    </row>
    <row r="4" spans="1:22">
      <c r="A4" s="58">
        <v>2023</v>
      </c>
      <c r="B4" s="74">
        <v>14196</v>
      </c>
      <c r="C4" s="66">
        <v>2176</v>
      </c>
      <c r="D4" s="66">
        <v>6205</v>
      </c>
      <c r="E4" s="66">
        <v>1254</v>
      </c>
      <c r="F4" s="66">
        <v>253</v>
      </c>
      <c r="G4" s="85">
        <v>47864</v>
      </c>
      <c r="H4" s="87">
        <f>SUM(B4:F4)/G4</f>
        <v>0.5031756643824169</v>
      </c>
      <c r="I4" s="66">
        <v>3547</v>
      </c>
      <c r="J4" s="66">
        <v>758</v>
      </c>
      <c r="K4" s="66">
        <v>1429</v>
      </c>
      <c r="L4" s="66">
        <v>279</v>
      </c>
      <c r="M4" s="66">
        <v>36</v>
      </c>
      <c r="N4" s="75">
        <v>9002</v>
      </c>
      <c r="O4" s="87">
        <f>SUM(I4:M4)/N4</f>
        <v>0.67196178626971781</v>
      </c>
      <c r="P4" s="66">
        <v>12011</v>
      </c>
      <c r="Q4" s="66">
        <v>755</v>
      </c>
      <c r="R4" s="66">
        <v>2667</v>
      </c>
      <c r="S4" s="66">
        <v>427</v>
      </c>
      <c r="T4" s="66">
        <v>110</v>
      </c>
      <c r="U4" s="75">
        <v>35914</v>
      </c>
      <c r="V4" s="98">
        <f>SUM(P4:T4)/U4</f>
        <v>0.44467338642312187</v>
      </c>
    </row>
    <row r="5" spans="1:22">
      <c r="A5" s="72">
        <v>2025</v>
      </c>
      <c r="B5" s="72">
        <v>14199</v>
      </c>
      <c r="C5" s="76">
        <v>1036</v>
      </c>
      <c r="D5" s="77">
        <v>12596</v>
      </c>
      <c r="E5" s="76">
        <v>591</v>
      </c>
      <c r="F5" s="76">
        <v>289</v>
      </c>
      <c r="G5" s="77">
        <v>47353</v>
      </c>
      <c r="H5" s="87">
        <f>SUM(B5:F5)/G5</f>
        <v>0.60631850146770006</v>
      </c>
      <c r="I5" s="76">
        <v>3686</v>
      </c>
      <c r="J5" s="76">
        <v>48</v>
      </c>
      <c r="K5" s="77">
        <v>3635</v>
      </c>
      <c r="L5" s="76">
        <v>0</v>
      </c>
      <c r="M5" s="76">
        <v>0</v>
      </c>
      <c r="N5" s="78">
        <v>8897</v>
      </c>
      <c r="O5" s="87">
        <f>SUM(I5:M5)/N5</f>
        <v>0.82825671574688098</v>
      </c>
      <c r="P5" s="91">
        <f>P4*B5/B4*I5/I4</f>
        <v>12484.325342621638</v>
      </c>
      <c r="Q5" s="92"/>
      <c r="R5" s="93">
        <f>U5*V9-P5</f>
        <v>6521.1930624571596</v>
      </c>
      <c r="S5" s="90"/>
      <c r="T5" s="90"/>
      <c r="U5" s="79">
        <v>35617</v>
      </c>
      <c r="V5" s="99">
        <f>SUM(P5:T5)/U5</f>
        <v>0.53360806370774627</v>
      </c>
    </row>
    <row r="6" spans="1:22" s="19" customFormat="1">
      <c r="A6" s="80" t="s">
        <v>598</v>
      </c>
      <c r="B6" s="94"/>
      <c r="C6" s="94"/>
      <c r="D6" s="94"/>
      <c r="E6" s="94"/>
      <c r="F6" s="94"/>
      <c r="G6" s="94"/>
      <c r="H6" s="80"/>
      <c r="I6" s="94"/>
      <c r="J6" s="94"/>
      <c r="K6" s="94"/>
      <c r="L6" s="94"/>
      <c r="M6" s="94"/>
      <c r="N6" s="95"/>
      <c r="O6" s="80"/>
      <c r="P6" s="83">
        <f>P4*B5/B4*I5/I4</f>
        <v>12484.325342621638</v>
      </c>
      <c r="Q6" s="94"/>
      <c r="R6" s="83">
        <f>P6+1</f>
        <v>12485.325342621638</v>
      </c>
      <c r="S6" s="94"/>
      <c r="T6" s="94"/>
      <c r="U6" s="71">
        <v>35617</v>
      </c>
      <c r="V6" s="96">
        <f t="shared" ref="V6:V7" si="0">SUM(P6:T6)/U6</f>
        <v>0.7010599063717684</v>
      </c>
    </row>
    <row r="7" spans="1:22" s="19" customFormat="1">
      <c r="A7" s="81" t="s">
        <v>599</v>
      </c>
      <c r="B7" s="69"/>
      <c r="C7" s="69"/>
      <c r="D7" s="69"/>
      <c r="E7" s="69"/>
      <c r="F7" s="69"/>
      <c r="G7" s="69"/>
      <c r="H7" s="81"/>
      <c r="I7" s="69"/>
      <c r="J7" s="69"/>
      <c r="K7" s="69"/>
      <c r="L7" s="69"/>
      <c r="M7" s="69"/>
      <c r="N7" s="97"/>
      <c r="O7" s="81"/>
      <c r="P7" s="69">
        <f>P4</f>
        <v>12011</v>
      </c>
      <c r="Q7" s="69"/>
      <c r="R7" s="83">
        <f>P7+1</f>
        <v>12012</v>
      </c>
      <c r="S7" s="69"/>
      <c r="T7" s="69"/>
      <c r="U7" s="71">
        <v>35617</v>
      </c>
      <c r="V7" s="96">
        <f t="shared" si="0"/>
        <v>0.67448128702585841</v>
      </c>
    </row>
    <row r="9" spans="1:22">
      <c r="H9" s="88">
        <f>H5/H4</f>
        <v>1.2049837549514197</v>
      </c>
      <c r="O9" s="88">
        <f>O5/O4</f>
        <v>1.2325949669620471</v>
      </c>
      <c r="V9" s="89">
        <f>V4*1.2</f>
        <v>0.53360806370774627</v>
      </c>
    </row>
  </sheetData>
  <mergeCells count="3">
    <mergeCell ref="P1:V1"/>
    <mergeCell ref="B1:H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Zaječar rez</vt:lpstr>
      <vt:lpstr>Kosjerić rez</vt:lpstr>
      <vt:lpstr>Negotin rez</vt:lpstr>
      <vt:lpstr>Negotin uzorak</vt:lpstr>
      <vt:lpstr>Sumirano Zaječar</vt:lpstr>
      <vt:lpstr>Sumirano Kosjerić</vt:lpstr>
      <vt:lpstr>Sumirano Negotin</vt:lpstr>
      <vt:lpstr>Sumirano 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Biljana Zeljković</dc:creator>
  <cp:lastModifiedBy>Pavle Kovacevic</cp:lastModifiedBy>
  <cp:lastPrinted>2025-11-29T22:48:48Z</cp:lastPrinted>
  <dcterms:created xsi:type="dcterms:W3CDTF">2019-12-30T10:15:31Z</dcterms:created>
  <dcterms:modified xsi:type="dcterms:W3CDTF">2025-11-30T16:02:07Z</dcterms:modified>
</cp:coreProperties>
</file>